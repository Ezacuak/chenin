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/>
  <mc:AlternateContent xmlns:mc="http://schemas.openxmlformats.org/markup-compatibility/2006">
    <mc:Choice Requires="x15">
      <x15ac:absPath xmlns:x15ac="http://schemas.microsoft.com/office/spreadsheetml/2010/11/ac" url="D:\Utilisateurs\modane\Documents\Desktop\Data resources Antonin\NOIS_S\"/>
    </mc:Choice>
  </mc:AlternateContent>
  <xr:revisionPtr revIDLastSave="0" documentId="8_{9C4CB28A-40E1-42D0-9544-B4F2B985F2FD}" xr6:coauthVersionLast="36" xr6:coauthVersionMax="36" xr10:uidLastSave="{00000000-0000-0000-0000-000000000000}"/>
  <bookViews>
    <workbookView xWindow="0" yWindow="0" windowWidth="25200" windowHeight="11850" tabRatio="897" activeTab="15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9" r:id="rId26"/>
    <sheet name="27" sheetId="30" r:id="rId27"/>
    <sheet name="28" sheetId="31" r:id="rId28"/>
    <sheet name="29" sheetId="32" r:id="rId29"/>
    <sheet name="30" sheetId="33" r:id="rId30"/>
    <sheet name="SYNTHESE" sheetId="13" r:id="rId31"/>
    <sheet name="metadat" sheetId="28" r:id="rId3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0" l="1"/>
  <c r="G2" i="10"/>
  <c r="H2" i="6"/>
  <c r="G2" i="6"/>
  <c r="H2" i="4"/>
  <c r="G2" i="4"/>
  <c r="G2" i="2"/>
  <c r="H2" i="2"/>
  <c r="H2" i="8" l="1"/>
  <c r="G2" i="8"/>
  <c r="G2" i="11" l="1"/>
  <c r="H2" i="11"/>
  <c r="M16" i="11"/>
  <c r="L16" i="11"/>
  <c r="K16" i="11"/>
  <c r="J16" i="11"/>
  <c r="M15" i="11"/>
  <c r="L15" i="11"/>
  <c r="K15" i="11"/>
  <c r="P15" i="11" s="1"/>
  <c r="J15" i="11"/>
  <c r="M14" i="11"/>
  <c r="L14" i="11"/>
  <c r="K14" i="11"/>
  <c r="P14" i="11" s="1"/>
  <c r="J14" i="11"/>
  <c r="H14" i="11"/>
  <c r="H15" i="11" s="1"/>
  <c r="G14" i="11"/>
  <c r="G15" i="11" s="1"/>
  <c r="P13" i="11"/>
  <c r="N13" i="11"/>
  <c r="H13" i="11"/>
  <c r="P12" i="11"/>
  <c r="N12" i="11"/>
  <c r="H12" i="11"/>
  <c r="G12" i="11"/>
  <c r="Q12" i="11" s="1"/>
  <c r="R12" i="11" s="1"/>
  <c r="U12" i="11" s="1"/>
  <c r="P11" i="11"/>
  <c r="N11" i="11"/>
  <c r="H11" i="11"/>
  <c r="P10" i="11"/>
  <c r="N10" i="11"/>
  <c r="H10" i="11"/>
  <c r="H16" i="11" s="1"/>
  <c r="P9" i="11"/>
  <c r="N9" i="11"/>
  <c r="N15" i="11" s="1"/>
  <c r="H9" i="11"/>
  <c r="P8" i="11"/>
  <c r="N8" i="11"/>
  <c r="Q8" i="11" s="1"/>
  <c r="R8" i="11" s="1"/>
  <c r="U8" i="11" s="1"/>
  <c r="H8" i="11"/>
  <c r="G8" i="11"/>
  <c r="P7" i="11"/>
  <c r="N7" i="11"/>
  <c r="H7" i="11"/>
  <c r="G7" i="11"/>
  <c r="P6" i="11"/>
  <c r="N6" i="11"/>
  <c r="H6" i="11"/>
  <c r="G6" i="11"/>
  <c r="P5" i="11"/>
  <c r="N5" i="11"/>
  <c r="H5" i="11"/>
  <c r="G5" i="11"/>
  <c r="P4" i="11"/>
  <c r="N4" i="11"/>
  <c r="H4" i="11"/>
  <c r="G4" i="11"/>
  <c r="G10" i="11" s="1"/>
  <c r="P3" i="11"/>
  <c r="N3" i="11"/>
  <c r="H3" i="11"/>
  <c r="G3" i="11"/>
  <c r="G11" i="11" s="1"/>
  <c r="Q2" i="11"/>
  <c r="R2" i="11" s="1"/>
  <c r="U2" i="11" s="1"/>
  <c r="P2" i="11"/>
  <c r="T2" i="11" s="1"/>
  <c r="W2" i="11" s="1"/>
  <c r="N2" i="11"/>
  <c r="P16" i="11" l="1"/>
  <c r="N14" i="11"/>
  <c r="Q14" i="11" s="1"/>
  <c r="R14" i="11" s="1"/>
  <c r="U14" i="11" s="1"/>
  <c r="Q5" i="11"/>
  <c r="R5" i="11" s="1"/>
  <c r="U5" i="11" s="1"/>
  <c r="Q6" i="11"/>
  <c r="R6" i="11" s="1"/>
  <c r="U6" i="11" s="1"/>
  <c r="G9" i="11"/>
  <c r="Q9" i="11" s="1"/>
  <c r="R9" i="11" s="1"/>
  <c r="U9" i="11" s="1"/>
  <c r="G13" i="11"/>
  <c r="Q13" i="11" s="1"/>
  <c r="R13" i="11" s="1"/>
  <c r="U13" i="11" s="1"/>
  <c r="T9" i="11"/>
  <c r="W9" i="11" s="1"/>
  <c r="G16" i="11"/>
  <c r="Q10" i="11"/>
  <c r="R10" i="11" s="1"/>
  <c r="U10" i="11" s="1"/>
  <c r="Q11" i="11"/>
  <c r="R11" i="11" s="1"/>
  <c r="U11" i="11" s="1"/>
  <c r="T12" i="11"/>
  <c r="W12" i="11" s="1"/>
  <c r="T13" i="11"/>
  <c r="W13" i="11" s="1"/>
  <c r="Q15" i="11"/>
  <c r="R15" i="11" s="1"/>
  <c r="U15" i="11" s="1"/>
  <c r="N16" i="11"/>
  <c r="Q16" i="11" s="1"/>
  <c r="R16" i="11" s="1"/>
  <c r="U16" i="11" s="1"/>
  <c r="T8" i="11"/>
  <c r="W8" i="11" s="1"/>
  <c r="Q3" i="11"/>
  <c r="R3" i="11" s="1"/>
  <c r="U3" i="11" s="1"/>
  <c r="Q7" i="11"/>
  <c r="R7" i="11" s="1"/>
  <c r="U7" i="11" s="1"/>
  <c r="Q4" i="11"/>
  <c r="R4" i="11" s="1"/>
  <c r="U4" i="11" s="1"/>
  <c r="H2" i="17"/>
  <c r="G2" i="17"/>
  <c r="H2" i="7"/>
  <c r="G2" i="7"/>
  <c r="G2" i="3"/>
  <c r="H2" i="3"/>
  <c r="T6" i="11" l="1"/>
  <c r="W6" i="11" s="1"/>
  <c r="T5" i="11"/>
  <c r="W5" i="11" s="1"/>
  <c r="T14" i="11"/>
  <c r="W14" i="11" s="1"/>
  <c r="T15" i="11"/>
  <c r="W15" i="11" s="1"/>
  <c r="T4" i="11"/>
  <c r="W4" i="11" s="1"/>
  <c r="T10" i="11"/>
  <c r="W10" i="11" s="1"/>
  <c r="T3" i="11"/>
  <c r="W3" i="11" s="1"/>
  <c r="T16" i="11"/>
  <c r="W16" i="11" s="1"/>
  <c r="T11" i="11"/>
  <c r="W11" i="11" s="1"/>
  <c r="T7" i="11"/>
  <c r="W7" i="11" s="1"/>
  <c r="H2" i="14"/>
  <c r="G2" i="14"/>
  <c r="H2" i="9"/>
  <c r="G2" i="9"/>
  <c r="H2" i="5"/>
  <c r="G2" i="5"/>
  <c r="H2" i="1"/>
  <c r="G2" i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3" i="13"/>
  <c r="M16" i="33" l="1"/>
  <c r="L16" i="33"/>
  <c r="K16" i="33"/>
  <c r="P16" i="33" s="1"/>
  <c r="J16" i="33"/>
  <c r="H16" i="33"/>
  <c r="N15" i="33"/>
  <c r="M15" i="33"/>
  <c r="L15" i="33"/>
  <c r="K15" i="33"/>
  <c r="P15" i="33" s="1"/>
  <c r="J15" i="33"/>
  <c r="M14" i="33"/>
  <c r="L14" i="33"/>
  <c r="K14" i="33"/>
  <c r="P14" i="33" s="1"/>
  <c r="J14" i="33"/>
  <c r="H14" i="33"/>
  <c r="H15" i="33" s="1"/>
  <c r="G14" i="33"/>
  <c r="G15" i="33" s="1"/>
  <c r="P13" i="33"/>
  <c r="N13" i="33"/>
  <c r="H13" i="33"/>
  <c r="G13" i="33"/>
  <c r="Q13" i="33" s="1"/>
  <c r="R13" i="33" s="1"/>
  <c r="U13" i="33" s="1"/>
  <c r="P12" i="33"/>
  <c r="N12" i="33"/>
  <c r="H12" i="33"/>
  <c r="G12" i="33"/>
  <c r="Q12" i="33" s="1"/>
  <c r="R12" i="33" s="1"/>
  <c r="U12" i="33" s="1"/>
  <c r="P11" i="33"/>
  <c r="N11" i="33"/>
  <c r="H11" i="33"/>
  <c r="P10" i="33"/>
  <c r="N10" i="33"/>
  <c r="H10" i="33"/>
  <c r="P9" i="33"/>
  <c r="N9" i="33"/>
  <c r="H9" i="33"/>
  <c r="G9" i="33"/>
  <c r="Q9" i="33" s="1"/>
  <c r="R9" i="33" s="1"/>
  <c r="U9" i="33" s="1"/>
  <c r="P8" i="33"/>
  <c r="N8" i="33"/>
  <c r="H8" i="33"/>
  <c r="G8" i="33"/>
  <c r="Q8" i="33" s="1"/>
  <c r="R8" i="33" s="1"/>
  <c r="U8" i="33" s="1"/>
  <c r="P7" i="33"/>
  <c r="N7" i="33"/>
  <c r="Q7" i="33" s="1"/>
  <c r="R7" i="33" s="1"/>
  <c r="U7" i="33" s="1"/>
  <c r="H7" i="33"/>
  <c r="G7" i="33"/>
  <c r="P6" i="33"/>
  <c r="N6" i="33"/>
  <c r="Q6" i="33" s="1"/>
  <c r="R6" i="33" s="1"/>
  <c r="U6" i="33" s="1"/>
  <c r="H6" i="33"/>
  <c r="G6" i="33"/>
  <c r="P5" i="33"/>
  <c r="N5" i="33"/>
  <c r="H5" i="33"/>
  <c r="G5" i="33"/>
  <c r="Q5" i="33" s="1"/>
  <c r="R5" i="33" s="1"/>
  <c r="U5" i="33" s="1"/>
  <c r="P4" i="33"/>
  <c r="N4" i="33"/>
  <c r="N14" i="33" s="1"/>
  <c r="Q14" i="33" s="1"/>
  <c r="R14" i="33" s="1"/>
  <c r="U14" i="33" s="1"/>
  <c r="H4" i="33"/>
  <c r="G4" i="33"/>
  <c r="Q4" i="33" s="1"/>
  <c r="R4" i="33" s="1"/>
  <c r="U4" i="33" s="1"/>
  <c r="P3" i="33"/>
  <c r="N3" i="33"/>
  <c r="Q3" i="33" s="1"/>
  <c r="R3" i="33" s="1"/>
  <c r="U3" i="33" s="1"/>
  <c r="H3" i="33"/>
  <c r="G3" i="33"/>
  <c r="G11" i="33" s="1"/>
  <c r="P2" i="33"/>
  <c r="N2" i="33"/>
  <c r="Q2" i="33" s="1"/>
  <c r="R2" i="33" s="1"/>
  <c r="U2" i="33" s="1"/>
  <c r="M16" i="32"/>
  <c r="L16" i="32"/>
  <c r="K16" i="32"/>
  <c r="P16" i="32" s="1"/>
  <c r="J16" i="32"/>
  <c r="H16" i="32"/>
  <c r="N15" i="32"/>
  <c r="M15" i="32"/>
  <c r="L15" i="32"/>
  <c r="K15" i="32"/>
  <c r="P15" i="32" s="1"/>
  <c r="J15" i="32"/>
  <c r="M14" i="32"/>
  <c r="L14" i="32"/>
  <c r="K14" i="32"/>
  <c r="P14" i="32" s="1"/>
  <c r="J14" i="32"/>
  <c r="H14" i="32"/>
  <c r="H15" i="32" s="1"/>
  <c r="G14" i="32"/>
  <c r="G15" i="32" s="1"/>
  <c r="P13" i="32"/>
  <c r="N13" i="32"/>
  <c r="H13" i="32"/>
  <c r="G13" i="32"/>
  <c r="Q13" i="32" s="1"/>
  <c r="R13" i="32" s="1"/>
  <c r="U13" i="32" s="1"/>
  <c r="P12" i="32"/>
  <c r="N12" i="32"/>
  <c r="Q12" i="32" s="1"/>
  <c r="R12" i="32" s="1"/>
  <c r="U12" i="32" s="1"/>
  <c r="H12" i="32"/>
  <c r="G12" i="32"/>
  <c r="P11" i="32"/>
  <c r="N11" i="32"/>
  <c r="H11" i="32"/>
  <c r="P10" i="32"/>
  <c r="N10" i="32"/>
  <c r="H10" i="32"/>
  <c r="G10" i="32"/>
  <c r="G16" i="32" s="1"/>
  <c r="P9" i="32"/>
  <c r="T9" i="32" s="1"/>
  <c r="W9" i="32" s="1"/>
  <c r="N9" i="32"/>
  <c r="H9" i="32"/>
  <c r="G9" i="32"/>
  <c r="Q9" i="32" s="1"/>
  <c r="R9" i="32" s="1"/>
  <c r="U9" i="32" s="1"/>
  <c r="P8" i="32"/>
  <c r="N8" i="32"/>
  <c r="Q8" i="32" s="1"/>
  <c r="R8" i="32" s="1"/>
  <c r="U8" i="32" s="1"/>
  <c r="H8" i="32"/>
  <c r="G8" i="32"/>
  <c r="P7" i="32"/>
  <c r="N7" i="32"/>
  <c r="H7" i="32"/>
  <c r="G7" i="32"/>
  <c r="P6" i="32"/>
  <c r="T6" i="32" s="1"/>
  <c r="W6" i="32" s="1"/>
  <c r="N6" i="32"/>
  <c r="H6" i="32"/>
  <c r="G6" i="32"/>
  <c r="Q6" i="32" s="1"/>
  <c r="R6" i="32" s="1"/>
  <c r="U6" i="32" s="1"/>
  <c r="P5" i="32"/>
  <c r="T5" i="32" s="1"/>
  <c r="W5" i="32" s="1"/>
  <c r="N5" i="32"/>
  <c r="H5" i="32"/>
  <c r="G5" i="32"/>
  <c r="Q5" i="32" s="1"/>
  <c r="R5" i="32" s="1"/>
  <c r="U5" i="32" s="1"/>
  <c r="P4" i="32"/>
  <c r="N4" i="32"/>
  <c r="N14" i="32" s="1"/>
  <c r="Q14" i="32" s="1"/>
  <c r="R14" i="32" s="1"/>
  <c r="U14" i="32" s="1"/>
  <c r="H4" i="32"/>
  <c r="G4" i="32"/>
  <c r="P3" i="32"/>
  <c r="N3" i="32"/>
  <c r="H3" i="32"/>
  <c r="G3" i="32"/>
  <c r="G11" i="32" s="1"/>
  <c r="Q2" i="32"/>
  <c r="R2" i="32" s="1"/>
  <c r="U2" i="32" s="1"/>
  <c r="P2" i="32"/>
  <c r="N2" i="32"/>
  <c r="M16" i="31"/>
  <c r="L16" i="31"/>
  <c r="K16" i="31"/>
  <c r="P16" i="31" s="1"/>
  <c r="J16" i="31"/>
  <c r="H16" i="31"/>
  <c r="N15" i="31"/>
  <c r="M15" i="31"/>
  <c r="L15" i="31"/>
  <c r="K15" i="31"/>
  <c r="P15" i="31" s="1"/>
  <c r="J15" i="31"/>
  <c r="M14" i="31"/>
  <c r="L14" i="31"/>
  <c r="K14" i="31"/>
  <c r="P14" i="31" s="1"/>
  <c r="J14" i="31"/>
  <c r="H14" i="31"/>
  <c r="H15" i="31" s="1"/>
  <c r="G14" i="31"/>
  <c r="G15" i="31" s="1"/>
  <c r="P13" i="31"/>
  <c r="N13" i="31"/>
  <c r="H13" i="31"/>
  <c r="G13" i="31"/>
  <c r="Q13" i="31" s="1"/>
  <c r="R13" i="31" s="1"/>
  <c r="U13" i="31" s="1"/>
  <c r="P12" i="31"/>
  <c r="N12" i="31"/>
  <c r="H12" i="31"/>
  <c r="G12" i="31"/>
  <c r="Q12" i="31" s="1"/>
  <c r="R12" i="31" s="1"/>
  <c r="U12" i="31" s="1"/>
  <c r="P11" i="31"/>
  <c r="N11" i="31"/>
  <c r="H11" i="31"/>
  <c r="P10" i="31"/>
  <c r="N10" i="31"/>
  <c r="H10" i="31"/>
  <c r="P9" i="31"/>
  <c r="N9" i="31"/>
  <c r="H9" i="31"/>
  <c r="G9" i="31"/>
  <c r="Q9" i="31" s="1"/>
  <c r="R9" i="31" s="1"/>
  <c r="U9" i="31" s="1"/>
  <c r="P8" i="31"/>
  <c r="N8" i="31"/>
  <c r="H8" i="31"/>
  <c r="G8" i="31"/>
  <c r="Q8" i="31" s="1"/>
  <c r="R8" i="31" s="1"/>
  <c r="U8" i="31" s="1"/>
  <c r="P7" i="31"/>
  <c r="N7" i="31"/>
  <c r="H7" i="31"/>
  <c r="G7" i="31"/>
  <c r="P6" i="31"/>
  <c r="N6" i="31"/>
  <c r="Q6" i="31" s="1"/>
  <c r="R6" i="31" s="1"/>
  <c r="U6" i="31" s="1"/>
  <c r="H6" i="31"/>
  <c r="G6" i="31"/>
  <c r="P5" i="31"/>
  <c r="N5" i="31"/>
  <c r="H5" i="31"/>
  <c r="G5" i="31"/>
  <c r="Q5" i="31" s="1"/>
  <c r="R5" i="31" s="1"/>
  <c r="U5" i="31" s="1"/>
  <c r="P4" i="31"/>
  <c r="N4" i="31"/>
  <c r="N14" i="31" s="1"/>
  <c r="Q14" i="31" s="1"/>
  <c r="R14" i="31" s="1"/>
  <c r="U14" i="31" s="1"/>
  <c r="H4" i="31"/>
  <c r="G4" i="31"/>
  <c r="Q4" i="31" s="1"/>
  <c r="R4" i="31" s="1"/>
  <c r="U4" i="31" s="1"/>
  <c r="P3" i="31"/>
  <c r="N3" i="31"/>
  <c r="H3" i="31"/>
  <c r="G3" i="31"/>
  <c r="G11" i="31" s="1"/>
  <c r="P2" i="31"/>
  <c r="N2" i="31"/>
  <c r="Q2" i="31" s="1"/>
  <c r="R2" i="31" s="1"/>
  <c r="U2" i="31" s="1"/>
  <c r="M16" i="30"/>
  <c r="L16" i="30"/>
  <c r="K16" i="30"/>
  <c r="P16" i="30" s="1"/>
  <c r="J16" i="30"/>
  <c r="H16" i="30"/>
  <c r="N15" i="30"/>
  <c r="M15" i="30"/>
  <c r="L15" i="30"/>
  <c r="K15" i="30"/>
  <c r="P15" i="30" s="1"/>
  <c r="J15" i="30"/>
  <c r="M14" i="30"/>
  <c r="L14" i="30"/>
  <c r="K14" i="30"/>
  <c r="P14" i="30" s="1"/>
  <c r="J14" i="30"/>
  <c r="H14" i="30"/>
  <c r="H15" i="30" s="1"/>
  <c r="G14" i="30"/>
  <c r="G15" i="30" s="1"/>
  <c r="P13" i="30"/>
  <c r="N13" i="30"/>
  <c r="H13" i="30"/>
  <c r="G13" i="30"/>
  <c r="Q13" i="30" s="1"/>
  <c r="R13" i="30" s="1"/>
  <c r="U13" i="30" s="1"/>
  <c r="P12" i="30"/>
  <c r="N12" i="30"/>
  <c r="H12" i="30"/>
  <c r="G12" i="30"/>
  <c r="Q12" i="30" s="1"/>
  <c r="R12" i="30" s="1"/>
  <c r="U12" i="30" s="1"/>
  <c r="P11" i="30"/>
  <c r="N11" i="30"/>
  <c r="H11" i="30"/>
  <c r="P10" i="30"/>
  <c r="N10" i="30"/>
  <c r="H10" i="30"/>
  <c r="P9" i="30"/>
  <c r="N9" i="30"/>
  <c r="H9" i="30"/>
  <c r="G9" i="30"/>
  <c r="Q9" i="30" s="1"/>
  <c r="R9" i="30" s="1"/>
  <c r="U9" i="30" s="1"/>
  <c r="P8" i="30"/>
  <c r="N8" i="30"/>
  <c r="H8" i="30"/>
  <c r="G8" i="30"/>
  <c r="Q8" i="30" s="1"/>
  <c r="R8" i="30" s="1"/>
  <c r="U8" i="30" s="1"/>
  <c r="P7" i="30"/>
  <c r="N7" i="30"/>
  <c r="H7" i="30"/>
  <c r="G7" i="30"/>
  <c r="P6" i="30"/>
  <c r="N6" i="30"/>
  <c r="Q6" i="30" s="1"/>
  <c r="R6" i="30" s="1"/>
  <c r="U6" i="30" s="1"/>
  <c r="H6" i="30"/>
  <c r="G6" i="30"/>
  <c r="P5" i="30"/>
  <c r="N5" i="30"/>
  <c r="H5" i="30"/>
  <c r="G5" i="30"/>
  <c r="Q5" i="30" s="1"/>
  <c r="R5" i="30" s="1"/>
  <c r="U5" i="30" s="1"/>
  <c r="P4" i="30"/>
  <c r="N4" i="30"/>
  <c r="N14" i="30" s="1"/>
  <c r="Q14" i="30" s="1"/>
  <c r="R14" i="30" s="1"/>
  <c r="U14" i="30" s="1"/>
  <c r="H4" i="30"/>
  <c r="G4" i="30"/>
  <c r="Q4" i="30" s="1"/>
  <c r="R4" i="30" s="1"/>
  <c r="U4" i="30" s="1"/>
  <c r="P3" i="30"/>
  <c r="N3" i="30"/>
  <c r="H3" i="30"/>
  <c r="G3" i="30"/>
  <c r="G11" i="30" s="1"/>
  <c r="P2" i="30"/>
  <c r="N2" i="30"/>
  <c r="Q2" i="30" s="1"/>
  <c r="R2" i="30" s="1"/>
  <c r="U2" i="30" s="1"/>
  <c r="M16" i="29"/>
  <c r="L16" i="29"/>
  <c r="K16" i="29"/>
  <c r="P16" i="29" s="1"/>
  <c r="J16" i="29"/>
  <c r="H16" i="29"/>
  <c r="N15" i="29"/>
  <c r="M15" i="29"/>
  <c r="L15" i="29"/>
  <c r="K15" i="29"/>
  <c r="P15" i="29" s="1"/>
  <c r="J15" i="29"/>
  <c r="M14" i="29"/>
  <c r="L14" i="29"/>
  <c r="K14" i="29"/>
  <c r="P14" i="29" s="1"/>
  <c r="J14" i="29"/>
  <c r="H14" i="29"/>
  <c r="H15" i="29" s="1"/>
  <c r="G14" i="29"/>
  <c r="G15" i="29" s="1"/>
  <c r="P13" i="29"/>
  <c r="N13" i="29"/>
  <c r="H13" i="29"/>
  <c r="G13" i="29"/>
  <c r="Q13" i="29" s="1"/>
  <c r="R13" i="29" s="1"/>
  <c r="U13" i="29" s="1"/>
  <c r="P12" i="29"/>
  <c r="N12" i="29"/>
  <c r="H12" i="29"/>
  <c r="G12" i="29"/>
  <c r="Q12" i="29" s="1"/>
  <c r="R12" i="29" s="1"/>
  <c r="U12" i="29" s="1"/>
  <c r="P11" i="29"/>
  <c r="N11" i="29"/>
  <c r="H11" i="29"/>
  <c r="P10" i="29"/>
  <c r="N10" i="29"/>
  <c r="H10" i="29"/>
  <c r="Q9" i="29"/>
  <c r="R9" i="29" s="1"/>
  <c r="U9" i="29" s="1"/>
  <c r="P9" i="29"/>
  <c r="T9" i="29" s="1"/>
  <c r="W9" i="29" s="1"/>
  <c r="N9" i="29"/>
  <c r="H9" i="29"/>
  <c r="G9" i="29"/>
  <c r="P8" i="29"/>
  <c r="T8" i="29" s="1"/>
  <c r="W8" i="29" s="1"/>
  <c r="N8" i="29"/>
  <c r="H8" i="29"/>
  <c r="G8" i="29"/>
  <c r="Q8" i="29" s="1"/>
  <c r="R8" i="29" s="1"/>
  <c r="U8" i="29" s="1"/>
  <c r="P7" i="29"/>
  <c r="N7" i="29"/>
  <c r="Q7" i="29" s="1"/>
  <c r="R7" i="29" s="1"/>
  <c r="U7" i="29" s="1"/>
  <c r="H7" i="29"/>
  <c r="G7" i="29"/>
  <c r="P6" i="29"/>
  <c r="T6" i="29" s="1"/>
  <c r="W6" i="29" s="1"/>
  <c r="N6" i="29"/>
  <c r="Q6" i="29" s="1"/>
  <c r="R6" i="29" s="1"/>
  <c r="U6" i="29" s="1"/>
  <c r="H6" i="29"/>
  <c r="G6" i="29"/>
  <c r="P5" i="29"/>
  <c r="T5" i="29" s="1"/>
  <c r="W5" i="29" s="1"/>
  <c r="N5" i="29"/>
  <c r="H5" i="29"/>
  <c r="G5" i="29"/>
  <c r="Q5" i="29" s="1"/>
  <c r="R5" i="29" s="1"/>
  <c r="U5" i="29" s="1"/>
  <c r="P4" i="29"/>
  <c r="T4" i="29" s="1"/>
  <c r="W4" i="29" s="1"/>
  <c r="N4" i="29"/>
  <c r="N14" i="29" s="1"/>
  <c r="Q14" i="29" s="1"/>
  <c r="R14" i="29" s="1"/>
  <c r="U14" i="29" s="1"/>
  <c r="H4" i="29"/>
  <c r="G4" i="29"/>
  <c r="Q4" i="29" s="1"/>
  <c r="R4" i="29" s="1"/>
  <c r="U4" i="29" s="1"/>
  <c r="P3" i="29"/>
  <c r="N3" i="29"/>
  <c r="H3" i="29"/>
  <c r="G3" i="29"/>
  <c r="G11" i="29" s="1"/>
  <c r="P2" i="29"/>
  <c r="T2" i="29" s="1"/>
  <c r="W2" i="29" s="1"/>
  <c r="N2" i="29"/>
  <c r="Q2" i="29" s="1"/>
  <c r="R2" i="29" s="1"/>
  <c r="U2" i="29" s="1"/>
  <c r="M16" i="26"/>
  <c r="L16" i="26"/>
  <c r="K16" i="26"/>
  <c r="P16" i="26" s="1"/>
  <c r="J16" i="26"/>
  <c r="H16" i="26"/>
  <c r="N15" i="26"/>
  <c r="M15" i="26"/>
  <c r="L15" i="26"/>
  <c r="K15" i="26"/>
  <c r="P15" i="26" s="1"/>
  <c r="J15" i="26"/>
  <c r="M14" i="26"/>
  <c r="L14" i="26"/>
  <c r="K14" i="26"/>
  <c r="P14" i="26" s="1"/>
  <c r="J14" i="26"/>
  <c r="H14" i="26"/>
  <c r="H15" i="26" s="1"/>
  <c r="G14" i="26"/>
  <c r="G15" i="26" s="1"/>
  <c r="P13" i="26"/>
  <c r="N13" i="26"/>
  <c r="H13" i="26"/>
  <c r="G13" i="26"/>
  <c r="Q13" i="26" s="1"/>
  <c r="R13" i="26" s="1"/>
  <c r="U13" i="26" s="1"/>
  <c r="P12" i="26"/>
  <c r="N12" i="26"/>
  <c r="Q12" i="26" s="1"/>
  <c r="R12" i="26" s="1"/>
  <c r="U12" i="26" s="1"/>
  <c r="H12" i="26"/>
  <c r="G12" i="26"/>
  <c r="P11" i="26"/>
  <c r="N11" i="26"/>
  <c r="H11" i="26"/>
  <c r="P10" i="26"/>
  <c r="N10" i="26"/>
  <c r="H10" i="26"/>
  <c r="G10" i="26"/>
  <c r="G16" i="26" s="1"/>
  <c r="P9" i="26"/>
  <c r="N9" i="26"/>
  <c r="H9" i="26"/>
  <c r="G9" i="26"/>
  <c r="Q9" i="26" s="1"/>
  <c r="R9" i="26" s="1"/>
  <c r="U9" i="26" s="1"/>
  <c r="P8" i="26"/>
  <c r="N8" i="26"/>
  <c r="Q8" i="26" s="1"/>
  <c r="R8" i="26" s="1"/>
  <c r="U8" i="26" s="1"/>
  <c r="H8" i="26"/>
  <c r="G8" i="26"/>
  <c r="P7" i="26"/>
  <c r="N7" i="26"/>
  <c r="Q7" i="26" s="1"/>
  <c r="R7" i="26" s="1"/>
  <c r="U7" i="26" s="1"/>
  <c r="H7" i="26"/>
  <c r="G7" i="26"/>
  <c r="P6" i="26"/>
  <c r="T6" i="26" s="1"/>
  <c r="W6" i="26" s="1"/>
  <c r="N6" i="26"/>
  <c r="H6" i="26"/>
  <c r="G6" i="26"/>
  <c r="Q6" i="26" s="1"/>
  <c r="R6" i="26" s="1"/>
  <c r="U6" i="26" s="1"/>
  <c r="P5" i="26"/>
  <c r="N5" i="26"/>
  <c r="H5" i="26"/>
  <c r="G5" i="26"/>
  <c r="Q5" i="26" s="1"/>
  <c r="R5" i="26" s="1"/>
  <c r="U5" i="26" s="1"/>
  <c r="P4" i="26"/>
  <c r="N4" i="26"/>
  <c r="N14" i="26" s="1"/>
  <c r="Q14" i="26" s="1"/>
  <c r="R14" i="26" s="1"/>
  <c r="U14" i="26" s="1"/>
  <c r="H4" i="26"/>
  <c r="G4" i="26"/>
  <c r="P3" i="26"/>
  <c r="N3" i="26"/>
  <c r="Q3" i="26" s="1"/>
  <c r="R3" i="26" s="1"/>
  <c r="U3" i="26" s="1"/>
  <c r="H3" i="26"/>
  <c r="G3" i="26"/>
  <c r="G11" i="26" s="1"/>
  <c r="Q2" i="26"/>
  <c r="R2" i="26" s="1"/>
  <c r="U2" i="26" s="1"/>
  <c r="P2" i="26"/>
  <c r="N2" i="26"/>
  <c r="M16" i="25"/>
  <c r="L16" i="25"/>
  <c r="K16" i="25"/>
  <c r="P16" i="25" s="1"/>
  <c r="J16" i="25"/>
  <c r="H16" i="25"/>
  <c r="N15" i="25"/>
  <c r="M15" i="25"/>
  <c r="L15" i="25"/>
  <c r="K15" i="25"/>
  <c r="P15" i="25" s="1"/>
  <c r="J15" i="25"/>
  <c r="M14" i="25"/>
  <c r="L14" i="25"/>
  <c r="K14" i="25"/>
  <c r="P14" i="25" s="1"/>
  <c r="T14" i="25" s="1"/>
  <c r="W14" i="25" s="1"/>
  <c r="J14" i="25"/>
  <c r="H14" i="25"/>
  <c r="H15" i="25" s="1"/>
  <c r="G14" i="25"/>
  <c r="G15" i="25" s="1"/>
  <c r="P13" i="25"/>
  <c r="N13" i="25"/>
  <c r="H13" i="25"/>
  <c r="G13" i="25"/>
  <c r="Q13" i="25" s="1"/>
  <c r="R13" i="25" s="1"/>
  <c r="U13" i="25" s="1"/>
  <c r="P12" i="25"/>
  <c r="N12" i="25"/>
  <c r="Q12" i="25" s="1"/>
  <c r="R12" i="25" s="1"/>
  <c r="U12" i="25" s="1"/>
  <c r="H12" i="25"/>
  <c r="G12" i="25"/>
  <c r="P11" i="25"/>
  <c r="N11" i="25"/>
  <c r="H11" i="25"/>
  <c r="P10" i="25"/>
  <c r="N10" i="25"/>
  <c r="H10" i="25"/>
  <c r="G10" i="25"/>
  <c r="G16" i="25" s="1"/>
  <c r="Q9" i="25"/>
  <c r="R9" i="25" s="1"/>
  <c r="U9" i="25" s="1"/>
  <c r="P9" i="25"/>
  <c r="N9" i="25"/>
  <c r="H9" i="25"/>
  <c r="G9" i="25"/>
  <c r="P8" i="25"/>
  <c r="N8" i="25"/>
  <c r="Q8" i="25" s="1"/>
  <c r="R8" i="25" s="1"/>
  <c r="U8" i="25" s="1"/>
  <c r="H8" i="25"/>
  <c r="G8" i="25"/>
  <c r="P7" i="25"/>
  <c r="N7" i="25"/>
  <c r="Q7" i="25" s="1"/>
  <c r="R7" i="25" s="1"/>
  <c r="U7" i="25" s="1"/>
  <c r="H7" i="25"/>
  <c r="G7" i="25"/>
  <c r="P6" i="25"/>
  <c r="T6" i="25" s="1"/>
  <c r="W6" i="25" s="1"/>
  <c r="N6" i="25"/>
  <c r="H6" i="25"/>
  <c r="G6" i="25"/>
  <c r="Q6" i="25" s="1"/>
  <c r="R6" i="25" s="1"/>
  <c r="U6" i="25" s="1"/>
  <c r="Q5" i="25"/>
  <c r="R5" i="25" s="1"/>
  <c r="U5" i="25" s="1"/>
  <c r="P5" i="25"/>
  <c r="N5" i="25"/>
  <c r="H5" i="25"/>
  <c r="G5" i="25"/>
  <c r="P4" i="25"/>
  <c r="N4" i="25"/>
  <c r="N14" i="25" s="1"/>
  <c r="Q14" i="25" s="1"/>
  <c r="R14" i="25" s="1"/>
  <c r="U14" i="25" s="1"/>
  <c r="H4" i="25"/>
  <c r="G4" i="25"/>
  <c r="P3" i="25"/>
  <c r="N3" i="25"/>
  <c r="Q3" i="25" s="1"/>
  <c r="R3" i="25" s="1"/>
  <c r="U3" i="25" s="1"/>
  <c r="H3" i="25"/>
  <c r="G3" i="25"/>
  <c r="G11" i="25" s="1"/>
  <c r="Q2" i="25"/>
  <c r="R2" i="25" s="1"/>
  <c r="U2" i="25" s="1"/>
  <c r="P2" i="25"/>
  <c r="N2" i="25"/>
  <c r="M16" i="24"/>
  <c r="L16" i="24"/>
  <c r="K16" i="24"/>
  <c r="P16" i="24" s="1"/>
  <c r="J16" i="24"/>
  <c r="H16" i="24"/>
  <c r="N15" i="24"/>
  <c r="M15" i="24"/>
  <c r="L15" i="24"/>
  <c r="K15" i="24"/>
  <c r="P15" i="24" s="1"/>
  <c r="J15" i="24"/>
  <c r="M14" i="24"/>
  <c r="L14" i="24"/>
  <c r="K14" i="24"/>
  <c r="P14" i="24" s="1"/>
  <c r="J14" i="24"/>
  <c r="H14" i="24"/>
  <c r="H15" i="24" s="1"/>
  <c r="G14" i="24"/>
  <c r="G15" i="24" s="1"/>
  <c r="P13" i="24"/>
  <c r="N13" i="24"/>
  <c r="H13" i="24"/>
  <c r="G13" i="24"/>
  <c r="Q13" i="24" s="1"/>
  <c r="R13" i="24" s="1"/>
  <c r="U13" i="24" s="1"/>
  <c r="P12" i="24"/>
  <c r="N12" i="24"/>
  <c r="H12" i="24"/>
  <c r="G12" i="24"/>
  <c r="Q12" i="24" s="1"/>
  <c r="R12" i="24" s="1"/>
  <c r="U12" i="24" s="1"/>
  <c r="P11" i="24"/>
  <c r="N11" i="24"/>
  <c r="H11" i="24"/>
  <c r="P10" i="24"/>
  <c r="N10" i="24"/>
  <c r="H10" i="24"/>
  <c r="P9" i="24"/>
  <c r="N9" i="24"/>
  <c r="T9" i="24" s="1"/>
  <c r="W9" i="24" s="1"/>
  <c r="H9" i="24"/>
  <c r="G9" i="24"/>
  <c r="Q9" i="24" s="1"/>
  <c r="R9" i="24" s="1"/>
  <c r="U9" i="24" s="1"/>
  <c r="P8" i="24"/>
  <c r="N8" i="24"/>
  <c r="H8" i="24"/>
  <c r="G8" i="24"/>
  <c r="Q8" i="24" s="1"/>
  <c r="R8" i="24" s="1"/>
  <c r="U8" i="24" s="1"/>
  <c r="P7" i="24"/>
  <c r="N7" i="24"/>
  <c r="H7" i="24"/>
  <c r="G7" i="24"/>
  <c r="P6" i="24"/>
  <c r="N6" i="24"/>
  <c r="Q6" i="24" s="1"/>
  <c r="R6" i="24" s="1"/>
  <c r="U6" i="24" s="1"/>
  <c r="H6" i="24"/>
  <c r="G6" i="24"/>
  <c r="P5" i="24"/>
  <c r="N5" i="24"/>
  <c r="T5" i="24" s="1"/>
  <c r="W5" i="24" s="1"/>
  <c r="H5" i="24"/>
  <c r="G5" i="24"/>
  <c r="Q5" i="24" s="1"/>
  <c r="R5" i="24" s="1"/>
  <c r="U5" i="24" s="1"/>
  <c r="P4" i="24"/>
  <c r="N4" i="24"/>
  <c r="N14" i="24" s="1"/>
  <c r="Q14" i="24" s="1"/>
  <c r="R14" i="24" s="1"/>
  <c r="U14" i="24" s="1"/>
  <c r="H4" i="24"/>
  <c r="G4" i="24"/>
  <c r="Q4" i="24" s="1"/>
  <c r="R4" i="24" s="1"/>
  <c r="U4" i="24" s="1"/>
  <c r="P3" i="24"/>
  <c r="N3" i="24"/>
  <c r="Q3" i="24" s="1"/>
  <c r="R3" i="24" s="1"/>
  <c r="U3" i="24" s="1"/>
  <c r="H3" i="24"/>
  <c r="G3" i="24"/>
  <c r="G11" i="24" s="1"/>
  <c r="P2" i="24"/>
  <c r="N2" i="24"/>
  <c r="Q2" i="24" s="1"/>
  <c r="R2" i="24" s="1"/>
  <c r="U2" i="24" s="1"/>
  <c r="M16" i="23"/>
  <c r="L16" i="23"/>
  <c r="K16" i="23"/>
  <c r="P16" i="23" s="1"/>
  <c r="J16" i="23"/>
  <c r="H16" i="23"/>
  <c r="N15" i="23"/>
  <c r="M15" i="23"/>
  <c r="L15" i="23"/>
  <c r="K15" i="23"/>
  <c r="P15" i="23" s="1"/>
  <c r="J15" i="23"/>
  <c r="M14" i="23"/>
  <c r="L14" i="23"/>
  <c r="K14" i="23"/>
  <c r="P14" i="23" s="1"/>
  <c r="J14" i="23"/>
  <c r="H14" i="23"/>
  <c r="H15" i="23" s="1"/>
  <c r="G14" i="23"/>
  <c r="G15" i="23" s="1"/>
  <c r="P13" i="23"/>
  <c r="N13" i="23"/>
  <c r="H13" i="23"/>
  <c r="G13" i="23"/>
  <c r="Q13" i="23" s="1"/>
  <c r="R13" i="23" s="1"/>
  <c r="U13" i="23" s="1"/>
  <c r="P12" i="23"/>
  <c r="T12" i="23" s="1"/>
  <c r="W12" i="23" s="1"/>
  <c r="N12" i="23"/>
  <c r="Q12" i="23" s="1"/>
  <c r="R12" i="23" s="1"/>
  <c r="U12" i="23" s="1"/>
  <c r="H12" i="23"/>
  <c r="G12" i="23"/>
  <c r="P11" i="23"/>
  <c r="N11" i="23"/>
  <c r="H11" i="23"/>
  <c r="P10" i="23"/>
  <c r="N10" i="23"/>
  <c r="H10" i="23"/>
  <c r="G10" i="23"/>
  <c r="G16" i="23" s="1"/>
  <c r="P9" i="23"/>
  <c r="N9" i="23"/>
  <c r="T9" i="23" s="1"/>
  <c r="W9" i="23" s="1"/>
  <c r="H9" i="23"/>
  <c r="G9" i="23"/>
  <c r="Q9" i="23" s="1"/>
  <c r="R9" i="23" s="1"/>
  <c r="U9" i="23" s="1"/>
  <c r="P8" i="23"/>
  <c r="N8" i="23"/>
  <c r="Q8" i="23" s="1"/>
  <c r="R8" i="23" s="1"/>
  <c r="U8" i="23" s="1"/>
  <c r="H8" i="23"/>
  <c r="G8" i="23"/>
  <c r="P7" i="23"/>
  <c r="N7" i="23"/>
  <c r="Q7" i="23" s="1"/>
  <c r="R7" i="23" s="1"/>
  <c r="U7" i="23" s="1"/>
  <c r="H7" i="23"/>
  <c r="G7" i="23"/>
  <c r="P6" i="23"/>
  <c r="T6" i="23" s="1"/>
  <c r="W6" i="23" s="1"/>
  <c r="N6" i="23"/>
  <c r="H6" i="23"/>
  <c r="G6" i="23"/>
  <c r="Q6" i="23" s="1"/>
  <c r="R6" i="23" s="1"/>
  <c r="U6" i="23" s="1"/>
  <c r="P5" i="23"/>
  <c r="N5" i="23"/>
  <c r="T5" i="23" s="1"/>
  <c r="W5" i="23" s="1"/>
  <c r="H5" i="23"/>
  <c r="G5" i="23"/>
  <c r="Q5" i="23" s="1"/>
  <c r="R5" i="23" s="1"/>
  <c r="U5" i="23" s="1"/>
  <c r="P4" i="23"/>
  <c r="N4" i="23"/>
  <c r="N14" i="23" s="1"/>
  <c r="Q14" i="23" s="1"/>
  <c r="R14" i="23" s="1"/>
  <c r="U14" i="23" s="1"/>
  <c r="H4" i="23"/>
  <c r="G4" i="23"/>
  <c r="P3" i="23"/>
  <c r="N3" i="23"/>
  <c r="Q3" i="23" s="1"/>
  <c r="R3" i="23" s="1"/>
  <c r="U3" i="23" s="1"/>
  <c r="H3" i="23"/>
  <c r="G3" i="23"/>
  <c r="G11" i="23" s="1"/>
  <c r="Q2" i="23"/>
  <c r="R2" i="23" s="1"/>
  <c r="U2" i="23" s="1"/>
  <c r="P2" i="23"/>
  <c r="T2" i="23" s="1"/>
  <c r="W2" i="23" s="1"/>
  <c r="N2" i="23"/>
  <c r="M16" i="22"/>
  <c r="L16" i="22"/>
  <c r="K16" i="22"/>
  <c r="P16" i="22" s="1"/>
  <c r="J16" i="22"/>
  <c r="H16" i="22"/>
  <c r="N15" i="22"/>
  <c r="M15" i="22"/>
  <c r="L15" i="22"/>
  <c r="K15" i="22"/>
  <c r="P15" i="22" s="1"/>
  <c r="J15" i="22"/>
  <c r="M14" i="22"/>
  <c r="L14" i="22"/>
  <c r="K14" i="22"/>
  <c r="P14" i="22" s="1"/>
  <c r="J14" i="22"/>
  <c r="H14" i="22"/>
  <c r="H15" i="22" s="1"/>
  <c r="G14" i="22"/>
  <c r="G15" i="22" s="1"/>
  <c r="P13" i="22"/>
  <c r="N13" i="22"/>
  <c r="H13" i="22"/>
  <c r="G13" i="22"/>
  <c r="Q13" i="22" s="1"/>
  <c r="R13" i="22" s="1"/>
  <c r="U13" i="22" s="1"/>
  <c r="P12" i="22"/>
  <c r="N12" i="22"/>
  <c r="H12" i="22"/>
  <c r="G12" i="22"/>
  <c r="Q12" i="22" s="1"/>
  <c r="R12" i="22" s="1"/>
  <c r="U12" i="22" s="1"/>
  <c r="P11" i="22"/>
  <c r="N11" i="22"/>
  <c r="H11" i="22"/>
  <c r="P10" i="22"/>
  <c r="N10" i="22"/>
  <c r="H10" i="22"/>
  <c r="P9" i="22"/>
  <c r="N9" i="22"/>
  <c r="H9" i="22"/>
  <c r="G9" i="22"/>
  <c r="Q9" i="22" s="1"/>
  <c r="R9" i="22" s="1"/>
  <c r="U9" i="22" s="1"/>
  <c r="P8" i="22"/>
  <c r="N8" i="22"/>
  <c r="H8" i="22"/>
  <c r="G8" i="22"/>
  <c r="Q8" i="22" s="1"/>
  <c r="R8" i="22" s="1"/>
  <c r="U8" i="22" s="1"/>
  <c r="P7" i="22"/>
  <c r="N7" i="22"/>
  <c r="Q7" i="22" s="1"/>
  <c r="R7" i="22" s="1"/>
  <c r="U7" i="22" s="1"/>
  <c r="H7" i="22"/>
  <c r="G7" i="22"/>
  <c r="P6" i="22"/>
  <c r="N6" i="22"/>
  <c r="Q6" i="22" s="1"/>
  <c r="R6" i="22" s="1"/>
  <c r="U6" i="22" s="1"/>
  <c r="H6" i="22"/>
  <c r="G6" i="22"/>
  <c r="P5" i="22"/>
  <c r="N5" i="22"/>
  <c r="H5" i="22"/>
  <c r="G5" i="22"/>
  <c r="Q5" i="22" s="1"/>
  <c r="R5" i="22" s="1"/>
  <c r="U5" i="22" s="1"/>
  <c r="P4" i="22"/>
  <c r="N4" i="22"/>
  <c r="N14" i="22" s="1"/>
  <c r="Q14" i="22" s="1"/>
  <c r="R14" i="22" s="1"/>
  <c r="U14" i="22" s="1"/>
  <c r="H4" i="22"/>
  <c r="G4" i="22"/>
  <c r="Q4" i="22" s="1"/>
  <c r="R4" i="22" s="1"/>
  <c r="U4" i="22" s="1"/>
  <c r="P3" i="22"/>
  <c r="N3" i="22"/>
  <c r="Q3" i="22" s="1"/>
  <c r="R3" i="22" s="1"/>
  <c r="U3" i="22" s="1"/>
  <c r="H3" i="22"/>
  <c r="G3" i="22"/>
  <c r="G11" i="22" s="1"/>
  <c r="P2" i="22"/>
  <c r="N2" i="22"/>
  <c r="Q2" i="22" s="1"/>
  <c r="R2" i="22" s="1"/>
  <c r="U2" i="22" s="1"/>
  <c r="M16" i="21"/>
  <c r="L16" i="21"/>
  <c r="K16" i="21"/>
  <c r="P16" i="21" s="1"/>
  <c r="J16" i="21"/>
  <c r="H16" i="21"/>
  <c r="N15" i="21"/>
  <c r="M15" i="21"/>
  <c r="L15" i="21"/>
  <c r="K15" i="21"/>
  <c r="P15" i="21" s="1"/>
  <c r="J15" i="21"/>
  <c r="M14" i="21"/>
  <c r="L14" i="21"/>
  <c r="K14" i="21"/>
  <c r="P14" i="21" s="1"/>
  <c r="J14" i="21"/>
  <c r="H14" i="21"/>
  <c r="H15" i="21" s="1"/>
  <c r="G14" i="21"/>
  <c r="G15" i="21" s="1"/>
  <c r="P13" i="21"/>
  <c r="N13" i="21"/>
  <c r="H13" i="21"/>
  <c r="G13" i="21"/>
  <c r="Q13" i="21" s="1"/>
  <c r="R13" i="21" s="1"/>
  <c r="U13" i="21" s="1"/>
  <c r="P12" i="21"/>
  <c r="N12" i="21"/>
  <c r="H12" i="21"/>
  <c r="G12" i="21"/>
  <c r="Q12" i="21" s="1"/>
  <c r="R12" i="21" s="1"/>
  <c r="U12" i="21" s="1"/>
  <c r="P11" i="21"/>
  <c r="N11" i="21"/>
  <c r="H11" i="21"/>
  <c r="P10" i="21"/>
  <c r="N10" i="21"/>
  <c r="H10" i="21"/>
  <c r="P9" i="21"/>
  <c r="T9" i="21" s="1"/>
  <c r="W9" i="21" s="1"/>
  <c r="N9" i="21"/>
  <c r="H9" i="21"/>
  <c r="G9" i="21"/>
  <c r="Q9" i="21" s="1"/>
  <c r="R9" i="21" s="1"/>
  <c r="U9" i="21" s="1"/>
  <c r="P8" i="21"/>
  <c r="T8" i="21" s="1"/>
  <c r="W8" i="21" s="1"/>
  <c r="N8" i="21"/>
  <c r="H8" i="21"/>
  <c r="G8" i="21"/>
  <c r="Q8" i="21" s="1"/>
  <c r="R8" i="21" s="1"/>
  <c r="U8" i="21" s="1"/>
  <c r="P7" i="21"/>
  <c r="N7" i="21"/>
  <c r="Q7" i="21" s="1"/>
  <c r="R7" i="21" s="1"/>
  <c r="U7" i="21" s="1"/>
  <c r="H7" i="21"/>
  <c r="G7" i="21"/>
  <c r="P6" i="21"/>
  <c r="N6" i="21"/>
  <c r="Q6" i="21" s="1"/>
  <c r="R6" i="21" s="1"/>
  <c r="U6" i="21" s="1"/>
  <c r="H6" i="21"/>
  <c r="G6" i="21"/>
  <c r="P5" i="21"/>
  <c r="T5" i="21" s="1"/>
  <c r="W5" i="21" s="1"/>
  <c r="N5" i="21"/>
  <c r="H5" i="21"/>
  <c r="G5" i="21"/>
  <c r="Q5" i="21" s="1"/>
  <c r="R5" i="21" s="1"/>
  <c r="U5" i="21" s="1"/>
  <c r="P4" i="21"/>
  <c r="T4" i="21" s="1"/>
  <c r="W4" i="21" s="1"/>
  <c r="N4" i="21"/>
  <c r="N14" i="21" s="1"/>
  <c r="Q14" i="21" s="1"/>
  <c r="R14" i="21" s="1"/>
  <c r="U14" i="21" s="1"/>
  <c r="H4" i="21"/>
  <c r="G4" i="21"/>
  <c r="Q4" i="21" s="1"/>
  <c r="R4" i="21" s="1"/>
  <c r="U4" i="21" s="1"/>
  <c r="P3" i="21"/>
  <c r="N3" i="21"/>
  <c r="Q3" i="21" s="1"/>
  <c r="R3" i="21" s="1"/>
  <c r="U3" i="21" s="1"/>
  <c r="H3" i="21"/>
  <c r="G3" i="21"/>
  <c r="G11" i="21" s="1"/>
  <c r="P2" i="21"/>
  <c r="N2" i="21"/>
  <c r="Q2" i="21" s="1"/>
  <c r="R2" i="21" s="1"/>
  <c r="U2" i="21" s="1"/>
  <c r="M16" i="20"/>
  <c r="L16" i="20"/>
  <c r="K16" i="20"/>
  <c r="P16" i="20" s="1"/>
  <c r="J16" i="20"/>
  <c r="M15" i="20"/>
  <c r="L15" i="20"/>
  <c r="K15" i="20"/>
  <c r="P15" i="20" s="1"/>
  <c r="J15" i="20"/>
  <c r="G15" i="20"/>
  <c r="M14" i="20"/>
  <c r="L14" i="20"/>
  <c r="K14" i="20"/>
  <c r="P14" i="20" s="1"/>
  <c r="J14" i="20"/>
  <c r="H14" i="20"/>
  <c r="H15" i="20" s="1"/>
  <c r="G14" i="20"/>
  <c r="P13" i="20"/>
  <c r="N13" i="20"/>
  <c r="H13" i="20"/>
  <c r="P12" i="20"/>
  <c r="N12" i="20"/>
  <c r="H12" i="20"/>
  <c r="G12" i="20"/>
  <c r="Q12" i="20" s="1"/>
  <c r="R12" i="20" s="1"/>
  <c r="U12" i="20" s="1"/>
  <c r="P11" i="20"/>
  <c r="N11" i="20"/>
  <c r="N16" i="20" s="1"/>
  <c r="H11" i="20"/>
  <c r="P10" i="20"/>
  <c r="N10" i="20"/>
  <c r="H10" i="20"/>
  <c r="H16" i="20" s="1"/>
  <c r="P9" i="20"/>
  <c r="N9" i="20"/>
  <c r="N15" i="20" s="1"/>
  <c r="Q15" i="20" s="1"/>
  <c r="R15" i="20" s="1"/>
  <c r="U15" i="20" s="1"/>
  <c r="H9" i="20"/>
  <c r="P8" i="20"/>
  <c r="N8" i="20"/>
  <c r="H8" i="20"/>
  <c r="G8" i="20"/>
  <c r="Q8" i="20" s="1"/>
  <c r="R8" i="20" s="1"/>
  <c r="U8" i="20" s="1"/>
  <c r="P7" i="20"/>
  <c r="N7" i="20"/>
  <c r="H7" i="20"/>
  <c r="G7" i="20"/>
  <c r="Q7" i="20" s="1"/>
  <c r="R7" i="20" s="1"/>
  <c r="U7" i="20" s="1"/>
  <c r="P6" i="20"/>
  <c r="N6" i="20"/>
  <c r="H6" i="20"/>
  <c r="G6" i="20"/>
  <c r="P5" i="20"/>
  <c r="N5" i="20"/>
  <c r="Q5" i="20" s="1"/>
  <c r="R5" i="20" s="1"/>
  <c r="U5" i="20" s="1"/>
  <c r="H5" i="20"/>
  <c r="G5" i="20"/>
  <c r="P4" i="20"/>
  <c r="N4" i="20"/>
  <c r="N14" i="20" s="1"/>
  <c r="Q14" i="20" s="1"/>
  <c r="R14" i="20" s="1"/>
  <c r="U14" i="20" s="1"/>
  <c r="H4" i="20"/>
  <c r="G4" i="20"/>
  <c r="Q4" i="20" s="1"/>
  <c r="R4" i="20" s="1"/>
  <c r="U4" i="20" s="1"/>
  <c r="P3" i="20"/>
  <c r="N3" i="20"/>
  <c r="H3" i="20"/>
  <c r="G3" i="20"/>
  <c r="G11" i="20" s="1"/>
  <c r="Q11" i="20" s="1"/>
  <c r="R11" i="20" s="1"/>
  <c r="U11" i="20" s="1"/>
  <c r="P2" i="20"/>
  <c r="N2" i="20"/>
  <c r="M16" i="19"/>
  <c r="L16" i="19"/>
  <c r="K16" i="19"/>
  <c r="P16" i="19" s="1"/>
  <c r="J16" i="19"/>
  <c r="H16" i="19"/>
  <c r="N15" i="19"/>
  <c r="M15" i="19"/>
  <c r="L15" i="19"/>
  <c r="K15" i="19"/>
  <c r="P15" i="19" s="1"/>
  <c r="J15" i="19"/>
  <c r="M14" i="19"/>
  <c r="L14" i="19"/>
  <c r="K14" i="19"/>
  <c r="P14" i="19" s="1"/>
  <c r="J14" i="19"/>
  <c r="H14" i="19"/>
  <c r="H15" i="19" s="1"/>
  <c r="G14" i="19"/>
  <c r="G15" i="19" s="1"/>
  <c r="P13" i="19"/>
  <c r="N13" i="19"/>
  <c r="H13" i="19"/>
  <c r="G13" i="19"/>
  <c r="Q13" i="19" s="1"/>
  <c r="R13" i="19" s="1"/>
  <c r="U13" i="19" s="1"/>
  <c r="P12" i="19"/>
  <c r="N12" i="19"/>
  <c r="H12" i="19"/>
  <c r="G12" i="19"/>
  <c r="Q12" i="19" s="1"/>
  <c r="R12" i="19" s="1"/>
  <c r="U12" i="19" s="1"/>
  <c r="P11" i="19"/>
  <c r="N11" i="19"/>
  <c r="H11" i="19"/>
  <c r="P10" i="19"/>
  <c r="N10" i="19"/>
  <c r="H10" i="19"/>
  <c r="P9" i="19"/>
  <c r="N9" i="19"/>
  <c r="H9" i="19"/>
  <c r="G9" i="19"/>
  <c r="Q9" i="19" s="1"/>
  <c r="R9" i="19" s="1"/>
  <c r="U9" i="19" s="1"/>
  <c r="P8" i="19"/>
  <c r="N8" i="19"/>
  <c r="H8" i="19"/>
  <c r="G8" i="19"/>
  <c r="Q8" i="19" s="1"/>
  <c r="R8" i="19" s="1"/>
  <c r="U8" i="19" s="1"/>
  <c r="P7" i="19"/>
  <c r="N7" i="19"/>
  <c r="Q7" i="19" s="1"/>
  <c r="R7" i="19" s="1"/>
  <c r="U7" i="19" s="1"/>
  <c r="H7" i="19"/>
  <c r="G7" i="19"/>
  <c r="P6" i="19"/>
  <c r="N6" i="19"/>
  <c r="Q6" i="19" s="1"/>
  <c r="R6" i="19" s="1"/>
  <c r="U6" i="19" s="1"/>
  <c r="H6" i="19"/>
  <c r="G6" i="19"/>
  <c r="P5" i="19"/>
  <c r="N5" i="19"/>
  <c r="H5" i="19"/>
  <c r="G5" i="19"/>
  <c r="Q5" i="19" s="1"/>
  <c r="R5" i="19" s="1"/>
  <c r="U5" i="19" s="1"/>
  <c r="P4" i="19"/>
  <c r="N4" i="19"/>
  <c r="N14" i="19" s="1"/>
  <c r="Q14" i="19" s="1"/>
  <c r="R14" i="19" s="1"/>
  <c r="U14" i="19" s="1"/>
  <c r="H4" i="19"/>
  <c r="G4" i="19"/>
  <c r="Q4" i="19" s="1"/>
  <c r="R4" i="19" s="1"/>
  <c r="U4" i="19" s="1"/>
  <c r="P3" i="19"/>
  <c r="N3" i="19"/>
  <c r="H3" i="19"/>
  <c r="G3" i="19"/>
  <c r="G11" i="19" s="1"/>
  <c r="P2" i="19"/>
  <c r="N2" i="19"/>
  <c r="Q2" i="19" s="1"/>
  <c r="R2" i="19" s="1"/>
  <c r="U2" i="19" s="1"/>
  <c r="M16" i="18"/>
  <c r="L16" i="18"/>
  <c r="K16" i="18"/>
  <c r="P16" i="18" s="1"/>
  <c r="J16" i="18"/>
  <c r="H16" i="18"/>
  <c r="N15" i="18"/>
  <c r="M15" i="18"/>
  <c r="L15" i="18"/>
  <c r="K15" i="18"/>
  <c r="P15" i="18" s="1"/>
  <c r="J15" i="18"/>
  <c r="M14" i="18"/>
  <c r="L14" i="18"/>
  <c r="K14" i="18"/>
  <c r="P14" i="18" s="1"/>
  <c r="J14" i="18"/>
  <c r="H14" i="18"/>
  <c r="H15" i="18" s="1"/>
  <c r="G14" i="18"/>
  <c r="G15" i="18" s="1"/>
  <c r="Q13" i="18"/>
  <c r="R13" i="18" s="1"/>
  <c r="U13" i="18" s="1"/>
  <c r="P13" i="18"/>
  <c r="N13" i="18"/>
  <c r="H13" i="18"/>
  <c r="G13" i="18"/>
  <c r="P12" i="18"/>
  <c r="N12" i="18"/>
  <c r="Q12" i="18" s="1"/>
  <c r="R12" i="18" s="1"/>
  <c r="U12" i="18" s="1"/>
  <c r="H12" i="18"/>
  <c r="G12" i="18"/>
  <c r="P11" i="18"/>
  <c r="N11" i="18"/>
  <c r="Q11" i="18" s="1"/>
  <c r="R11" i="18" s="1"/>
  <c r="U11" i="18" s="1"/>
  <c r="H11" i="18"/>
  <c r="Q10" i="18"/>
  <c r="R10" i="18" s="1"/>
  <c r="U10" i="18" s="1"/>
  <c r="P10" i="18"/>
  <c r="N10" i="18"/>
  <c r="H10" i="18"/>
  <c r="G10" i="18"/>
  <c r="G16" i="18" s="1"/>
  <c r="P9" i="18"/>
  <c r="N9" i="18"/>
  <c r="H9" i="18"/>
  <c r="G9" i="18"/>
  <c r="Q9" i="18" s="1"/>
  <c r="R9" i="18" s="1"/>
  <c r="U9" i="18" s="1"/>
  <c r="P8" i="18"/>
  <c r="N8" i="18"/>
  <c r="Q8" i="18" s="1"/>
  <c r="R8" i="18" s="1"/>
  <c r="U8" i="18" s="1"/>
  <c r="H8" i="18"/>
  <c r="G8" i="18"/>
  <c r="P7" i="18"/>
  <c r="N7" i="18"/>
  <c r="Q7" i="18" s="1"/>
  <c r="R7" i="18" s="1"/>
  <c r="U7" i="18" s="1"/>
  <c r="H7" i="18"/>
  <c r="G7" i="18"/>
  <c r="P6" i="18"/>
  <c r="N6" i="18"/>
  <c r="H6" i="18"/>
  <c r="G6" i="18"/>
  <c r="Q6" i="18" s="1"/>
  <c r="R6" i="18" s="1"/>
  <c r="U6" i="18" s="1"/>
  <c r="P5" i="18"/>
  <c r="N5" i="18"/>
  <c r="T5" i="18" s="1"/>
  <c r="W5" i="18" s="1"/>
  <c r="H5" i="18"/>
  <c r="G5" i="18"/>
  <c r="Q5" i="18" s="1"/>
  <c r="R5" i="18" s="1"/>
  <c r="U5" i="18" s="1"/>
  <c r="P4" i="18"/>
  <c r="N4" i="18"/>
  <c r="N14" i="18" s="1"/>
  <c r="Q14" i="18" s="1"/>
  <c r="R14" i="18" s="1"/>
  <c r="U14" i="18" s="1"/>
  <c r="H4" i="18"/>
  <c r="G4" i="18"/>
  <c r="P3" i="18"/>
  <c r="N3" i="18"/>
  <c r="Q3" i="18" s="1"/>
  <c r="R3" i="18" s="1"/>
  <c r="U3" i="18" s="1"/>
  <c r="H3" i="18"/>
  <c r="G3" i="18"/>
  <c r="G11" i="18" s="1"/>
  <c r="Q2" i="18"/>
  <c r="R2" i="18" s="1"/>
  <c r="U2" i="18" s="1"/>
  <c r="P2" i="18"/>
  <c r="T2" i="18" s="1"/>
  <c r="W2" i="18" s="1"/>
  <c r="N2" i="18"/>
  <c r="M16" i="17"/>
  <c r="L16" i="17"/>
  <c r="K16" i="17"/>
  <c r="P16" i="17" s="1"/>
  <c r="J16" i="17"/>
  <c r="M15" i="17"/>
  <c r="L15" i="17"/>
  <c r="K15" i="17"/>
  <c r="P15" i="17" s="1"/>
  <c r="J15" i="17"/>
  <c r="M14" i="17"/>
  <c r="L14" i="17"/>
  <c r="K14" i="17"/>
  <c r="P14" i="17" s="1"/>
  <c r="J14" i="17"/>
  <c r="H14" i="17"/>
  <c r="H15" i="17" s="1"/>
  <c r="G14" i="17"/>
  <c r="G15" i="17" s="1"/>
  <c r="P13" i="17"/>
  <c r="N13" i="17"/>
  <c r="H13" i="17"/>
  <c r="G13" i="17"/>
  <c r="Q13" i="17" s="1"/>
  <c r="R13" i="17" s="1"/>
  <c r="U13" i="17" s="1"/>
  <c r="P12" i="17"/>
  <c r="N12" i="17"/>
  <c r="H12" i="17"/>
  <c r="G12" i="17"/>
  <c r="Q12" i="17" s="1"/>
  <c r="R12" i="17" s="1"/>
  <c r="U12" i="17" s="1"/>
  <c r="P11" i="17"/>
  <c r="N11" i="17"/>
  <c r="H11" i="17"/>
  <c r="P10" i="17"/>
  <c r="N10" i="17"/>
  <c r="H10" i="17"/>
  <c r="H16" i="17" s="1"/>
  <c r="P9" i="17"/>
  <c r="N9" i="17"/>
  <c r="N15" i="17" s="1"/>
  <c r="H9" i="17"/>
  <c r="P8" i="17"/>
  <c r="N8" i="17"/>
  <c r="H8" i="17"/>
  <c r="G8" i="17"/>
  <c r="P7" i="17"/>
  <c r="N7" i="17"/>
  <c r="H7" i="17"/>
  <c r="G7" i="17"/>
  <c r="P6" i="17"/>
  <c r="N6" i="17"/>
  <c r="Q6" i="17" s="1"/>
  <c r="H6" i="17"/>
  <c r="G6" i="17"/>
  <c r="P5" i="17"/>
  <c r="N5" i="17"/>
  <c r="H5" i="17"/>
  <c r="G5" i="17"/>
  <c r="Q5" i="17" s="1"/>
  <c r="P4" i="17"/>
  <c r="N4" i="17"/>
  <c r="N14" i="17" s="1"/>
  <c r="Q14" i="17" s="1"/>
  <c r="R14" i="17" s="1"/>
  <c r="U14" i="17" s="1"/>
  <c r="H4" i="17"/>
  <c r="G4" i="17"/>
  <c r="Q4" i="17" s="1"/>
  <c r="P3" i="17"/>
  <c r="N3" i="17"/>
  <c r="Q3" i="17" s="1"/>
  <c r="H3" i="17"/>
  <c r="G3" i="17"/>
  <c r="G11" i="17" s="1"/>
  <c r="P2" i="17"/>
  <c r="N2" i="17"/>
  <c r="Q2" i="17" s="1"/>
  <c r="R2" i="17" s="1"/>
  <c r="U2" i="17" s="1"/>
  <c r="M16" i="16"/>
  <c r="L16" i="16"/>
  <c r="K16" i="16"/>
  <c r="P16" i="16" s="1"/>
  <c r="J16" i="16"/>
  <c r="M15" i="16"/>
  <c r="L15" i="16"/>
  <c r="K15" i="16"/>
  <c r="P15" i="16" s="1"/>
  <c r="J15" i="16"/>
  <c r="G15" i="16"/>
  <c r="M14" i="16"/>
  <c r="L14" i="16"/>
  <c r="K14" i="16"/>
  <c r="P14" i="16" s="1"/>
  <c r="T14" i="16" s="1"/>
  <c r="W14" i="16" s="1"/>
  <c r="J14" i="16"/>
  <c r="H14" i="16"/>
  <c r="H15" i="16" s="1"/>
  <c r="G14" i="16"/>
  <c r="P13" i="16"/>
  <c r="N13" i="16"/>
  <c r="H13" i="16"/>
  <c r="P12" i="16"/>
  <c r="T12" i="16" s="1"/>
  <c r="W12" i="16" s="1"/>
  <c r="N12" i="16"/>
  <c r="H12" i="16"/>
  <c r="G12" i="16"/>
  <c r="Q12" i="16" s="1"/>
  <c r="R12" i="16" s="1"/>
  <c r="U12" i="16" s="1"/>
  <c r="P11" i="16"/>
  <c r="N11" i="16"/>
  <c r="Q11" i="16" s="1"/>
  <c r="R11" i="16" s="1"/>
  <c r="U11" i="16" s="1"/>
  <c r="H11" i="16"/>
  <c r="P10" i="16"/>
  <c r="N10" i="16"/>
  <c r="H10" i="16"/>
  <c r="H16" i="16" s="1"/>
  <c r="P9" i="16"/>
  <c r="N9" i="16"/>
  <c r="H9" i="16"/>
  <c r="P8" i="16"/>
  <c r="T8" i="16" s="1"/>
  <c r="W8" i="16" s="1"/>
  <c r="N8" i="16"/>
  <c r="H8" i="16"/>
  <c r="G8" i="16"/>
  <c r="Q8" i="16" s="1"/>
  <c r="R8" i="16" s="1"/>
  <c r="U8" i="16" s="1"/>
  <c r="P7" i="16"/>
  <c r="N7" i="16"/>
  <c r="Q7" i="16" s="1"/>
  <c r="R7" i="16" s="1"/>
  <c r="U7" i="16" s="1"/>
  <c r="H7" i="16"/>
  <c r="G7" i="16"/>
  <c r="P6" i="16"/>
  <c r="T6" i="16" s="1"/>
  <c r="W6" i="16" s="1"/>
  <c r="N6" i="16"/>
  <c r="Q6" i="16" s="1"/>
  <c r="R6" i="16" s="1"/>
  <c r="U6" i="16" s="1"/>
  <c r="H6" i="16"/>
  <c r="G6" i="16"/>
  <c r="P5" i="16"/>
  <c r="N5" i="16"/>
  <c r="H5" i="16"/>
  <c r="G5" i="16"/>
  <c r="Q5" i="16" s="1"/>
  <c r="R5" i="16" s="1"/>
  <c r="U5" i="16" s="1"/>
  <c r="P4" i="16"/>
  <c r="T4" i="16" s="1"/>
  <c r="W4" i="16" s="1"/>
  <c r="N4" i="16"/>
  <c r="N14" i="16" s="1"/>
  <c r="Q14" i="16" s="1"/>
  <c r="R14" i="16" s="1"/>
  <c r="U14" i="16" s="1"/>
  <c r="H4" i="16"/>
  <c r="G4" i="16"/>
  <c r="Q4" i="16" s="1"/>
  <c r="R4" i="16" s="1"/>
  <c r="U4" i="16" s="1"/>
  <c r="P3" i="16"/>
  <c r="N3" i="16"/>
  <c r="Q3" i="16" s="1"/>
  <c r="R3" i="16" s="1"/>
  <c r="U3" i="16" s="1"/>
  <c r="H3" i="16"/>
  <c r="G3" i="16"/>
  <c r="G11" i="16" s="1"/>
  <c r="P2" i="16"/>
  <c r="T2" i="16" s="1"/>
  <c r="W2" i="16" s="1"/>
  <c r="N2" i="16"/>
  <c r="Q2" i="16" s="1"/>
  <c r="R2" i="16" s="1"/>
  <c r="U2" i="16" s="1"/>
  <c r="M16" i="15"/>
  <c r="L16" i="15"/>
  <c r="K16" i="15"/>
  <c r="P16" i="15" s="1"/>
  <c r="J16" i="15"/>
  <c r="H16" i="15"/>
  <c r="N15" i="15"/>
  <c r="M15" i="15"/>
  <c r="L15" i="15"/>
  <c r="K15" i="15"/>
  <c r="P15" i="15" s="1"/>
  <c r="J15" i="15"/>
  <c r="M14" i="15"/>
  <c r="L14" i="15"/>
  <c r="K14" i="15"/>
  <c r="P14" i="15" s="1"/>
  <c r="J14" i="15"/>
  <c r="H14" i="15"/>
  <c r="H15" i="15" s="1"/>
  <c r="G14" i="15"/>
  <c r="G15" i="15" s="1"/>
  <c r="P13" i="15"/>
  <c r="N13" i="15"/>
  <c r="H13" i="15"/>
  <c r="G13" i="15"/>
  <c r="Q13" i="15" s="1"/>
  <c r="R13" i="15" s="1"/>
  <c r="U13" i="15" s="1"/>
  <c r="P12" i="15"/>
  <c r="N12" i="15"/>
  <c r="Q12" i="15" s="1"/>
  <c r="R12" i="15" s="1"/>
  <c r="U12" i="15" s="1"/>
  <c r="H12" i="15"/>
  <c r="G12" i="15"/>
  <c r="P11" i="15"/>
  <c r="N11" i="15"/>
  <c r="H11" i="15"/>
  <c r="P10" i="15"/>
  <c r="N10" i="15"/>
  <c r="H10" i="15"/>
  <c r="G10" i="15"/>
  <c r="G16" i="15" s="1"/>
  <c r="P9" i="15"/>
  <c r="N9" i="15"/>
  <c r="H9" i="15"/>
  <c r="G9" i="15"/>
  <c r="Q9" i="15" s="1"/>
  <c r="R9" i="15" s="1"/>
  <c r="U9" i="15" s="1"/>
  <c r="P8" i="15"/>
  <c r="N8" i="15"/>
  <c r="Q8" i="15" s="1"/>
  <c r="R8" i="15" s="1"/>
  <c r="U8" i="15" s="1"/>
  <c r="H8" i="15"/>
  <c r="G8" i="15"/>
  <c r="P7" i="15"/>
  <c r="N7" i="15"/>
  <c r="Q7" i="15" s="1"/>
  <c r="R7" i="15" s="1"/>
  <c r="U7" i="15" s="1"/>
  <c r="H7" i="15"/>
  <c r="G7" i="15"/>
  <c r="P6" i="15"/>
  <c r="T6" i="15" s="1"/>
  <c r="W6" i="15" s="1"/>
  <c r="N6" i="15"/>
  <c r="H6" i="15"/>
  <c r="G6" i="15"/>
  <c r="Q6" i="15" s="1"/>
  <c r="R6" i="15" s="1"/>
  <c r="U6" i="15" s="1"/>
  <c r="Q5" i="15"/>
  <c r="R5" i="15" s="1"/>
  <c r="U5" i="15" s="1"/>
  <c r="P5" i="15"/>
  <c r="N5" i="15"/>
  <c r="H5" i="15"/>
  <c r="G5" i="15"/>
  <c r="P4" i="15"/>
  <c r="N4" i="15"/>
  <c r="N14" i="15" s="1"/>
  <c r="Q14" i="15" s="1"/>
  <c r="R14" i="15" s="1"/>
  <c r="U14" i="15" s="1"/>
  <c r="H4" i="15"/>
  <c r="G4" i="15"/>
  <c r="P3" i="15"/>
  <c r="N3" i="15"/>
  <c r="Q3" i="15" s="1"/>
  <c r="R3" i="15" s="1"/>
  <c r="U3" i="15" s="1"/>
  <c r="H3" i="15"/>
  <c r="G3" i="15"/>
  <c r="G11" i="15" s="1"/>
  <c r="Q2" i="15"/>
  <c r="R2" i="15" s="1"/>
  <c r="U2" i="15" s="1"/>
  <c r="P2" i="15"/>
  <c r="T2" i="15" s="1"/>
  <c r="W2" i="15" s="1"/>
  <c r="N2" i="15"/>
  <c r="M16" i="14"/>
  <c r="L16" i="14"/>
  <c r="K16" i="14"/>
  <c r="P16" i="14" s="1"/>
  <c r="J16" i="14"/>
  <c r="M15" i="14"/>
  <c r="L15" i="14"/>
  <c r="K15" i="14"/>
  <c r="P15" i="14" s="1"/>
  <c r="J15" i="14"/>
  <c r="M14" i="14"/>
  <c r="L14" i="14"/>
  <c r="K14" i="14"/>
  <c r="P14" i="14" s="1"/>
  <c r="J14" i="14"/>
  <c r="H14" i="14"/>
  <c r="H15" i="14" s="1"/>
  <c r="G14" i="14"/>
  <c r="G15" i="14" s="1"/>
  <c r="P13" i="14"/>
  <c r="N13" i="14"/>
  <c r="H13" i="14"/>
  <c r="P12" i="14"/>
  <c r="N12" i="14"/>
  <c r="H12" i="14"/>
  <c r="G12" i="14"/>
  <c r="P11" i="14"/>
  <c r="N11" i="14"/>
  <c r="H11" i="14"/>
  <c r="P10" i="14"/>
  <c r="N10" i="14"/>
  <c r="H10" i="14"/>
  <c r="H16" i="14" s="1"/>
  <c r="P9" i="14"/>
  <c r="N9" i="14"/>
  <c r="N15" i="14" s="1"/>
  <c r="H9" i="14"/>
  <c r="P8" i="14"/>
  <c r="N8" i="14"/>
  <c r="H8" i="14"/>
  <c r="G8" i="14"/>
  <c r="P7" i="14"/>
  <c r="N7" i="14"/>
  <c r="H7" i="14"/>
  <c r="G7" i="14"/>
  <c r="P6" i="14"/>
  <c r="N6" i="14"/>
  <c r="H6" i="14"/>
  <c r="G6" i="14"/>
  <c r="P5" i="14"/>
  <c r="N5" i="14"/>
  <c r="H5" i="14"/>
  <c r="G5" i="14"/>
  <c r="P4" i="14"/>
  <c r="N4" i="14"/>
  <c r="H4" i="14"/>
  <c r="G4" i="14"/>
  <c r="P3" i="14"/>
  <c r="N3" i="14"/>
  <c r="H3" i="14"/>
  <c r="G3" i="14"/>
  <c r="G11" i="14" s="1"/>
  <c r="P2" i="14"/>
  <c r="T2" i="14" s="1"/>
  <c r="W2" i="14" s="1"/>
  <c r="N2" i="14"/>
  <c r="Q2" i="14" s="1"/>
  <c r="R2" i="14" s="1"/>
  <c r="U2" i="14" s="1"/>
  <c r="M16" i="12"/>
  <c r="L16" i="12"/>
  <c r="K16" i="12"/>
  <c r="P16" i="12" s="1"/>
  <c r="J16" i="12"/>
  <c r="H16" i="12"/>
  <c r="N15" i="12"/>
  <c r="Q15" i="12" s="1"/>
  <c r="R15" i="12" s="1"/>
  <c r="U15" i="12" s="1"/>
  <c r="M15" i="12"/>
  <c r="L15" i="12"/>
  <c r="K15" i="12"/>
  <c r="P15" i="12" s="1"/>
  <c r="J15" i="12"/>
  <c r="M14" i="12"/>
  <c r="L14" i="12"/>
  <c r="K14" i="12"/>
  <c r="P14" i="12" s="1"/>
  <c r="J14" i="12"/>
  <c r="H14" i="12"/>
  <c r="H15" i="12" s="1"/>
  <c r="G14" i="12"/>
  <c r="G15" i="12" s="1"/>
  <c r="P13" i="12"/>
  <c r="N13" i="12"/>
  <c r="H13" i="12"/>
  <c r="G13" i="12"/>
  <c r="Q13" i="12" s="1"/>
  <c r="R13" i="12" s="1"/>
  <c r="U13" i="12" s="1"/>
  <c r="P12" i="12"/>
  <c r="N12" i="12"/>
  <c r="H12" i="12"/>
  <c r="G12" i="12"/>
  <c r="Q12" i="12" s="1"/>
  <c r="R12" i="12" s="1"/>
  <c r="U12" i="12" s="1"/>
  <c r="P11" i="12"/>
  <c r="N11" i="12"/>
  <c r="H11" i="12"/>
  <c r="P10" i="12"/>
  <c r="N10" i="12"/>
  <c r="H10" i="12"/>
  <c r="P9" i="12"/>
  <c r="N9" i="12"/>
  <c r="H9" i="12"/>
  <c r="G9" i="12"/>
  <c r="Q9" i="12" s="1"/>
  <c r="R9" i="12" s="1"/>
  <c r="U9" i="12" s="1"/>
  <c r="P8" i="12"/>
  <c r="N8" i="12"/>
  <c r="H8" i="12"/>
  <c r="G8" i="12"/>
  <c r="Q8" i="12" s="1"/>
  <c r="R8" i="12" s="1"/>
  <c r="U8" i="12" s="1"/>
  <c r="P7" i="12"/>
  <c r="N7" i="12"/>
  <c r="H7" i="12"/>
  <c r="G7" i="12"/>
  <c r="P6" i="12"/>
  <c r="N6" i="12"/>
  <c r="Q6" i="12" s="1"/>
  <c r="R6" i="12" s="1"/>
  <c r="U6" i="12" s="1"/>
  <c r="H6" i="12"/>
  <c r="G6" i="12"/>
  <c r="P5" i="12"/>
  <c r="N5" i="12"/>
  <c r="H5" i="12"/>
  <c r="G5" i="12"/>
  <c r="Q5" i="12" s="1"/>
  <c r="R5" i="12" s="1"/>
  <c r="U5" i="12" s="1"/>
  <c r="P4" i="12"/>
  <c r="N4" i="12"/>
  <c r="N14" i="12" s="1"/>
  <c r="Q14" i="12" s="1"/>
  <c r="R14" i="12" s="1"/>
  <c r="U14" i="12" s="1"/>
  <c r="H4" i="12"/>
  <c r="G4" i="12"/>
  <c r="Q4" i="12" s="1"/>
  <c r="R4" i="12" s="1"/>
  <c r="U4" i="12" s="1"/>
  <c r="P3" i="12"/>
  <c r="N3" i="12"/>
  <c r="H3" i="12"/>
  <c r="G3" i="12"/>
  <c r="G11" i="12" s="1"/>
  <c r="P2" i="12"/>
  <c r="N2" i="12"/>
  <c r="Q2" i="12" s="1"/>
  <c r="R2" i="12" s="1"/>
  <c r="U2" i="12" s="1"/>
  <c r="M16" i="10"/>
  <c r="L16" i="10"/>
  <c r="K16" i="10"/>
  <c r="P16" i="10" s="1"/>
  <c r="J16" i="10"/>
  <c r="M15" i="10"/>
  <c r="L15" i="10"/>
  <c r="K15" i="10"/>
  <c r="P15" i="10" s="1"/>
  <c r="J15" i="10"/>
  <c r="M14" i="10"/>
  <c r="L14" i="10"/>
  <c r="K14" i="10"/>
  <c r="P14" i="10" s="1"/>
  <c r="J14" i="10"/>
  <c r="H14" i="10"/>
  <c r="H15" i="10" s="1"/>
  <c r="G14" i="10"/>
  <c r="G15" i="10" s="1"/>
  <c r="P13" i="10"/>
  <c r="N13" i="10"/>
  <c r="H13" i="10"/>
  <c r="P12" i="10"/>
  <c r="N12" i="10"/>
  <c r="H12" i="10"/>
  <c r="G12" i="10"/>
  <c r="P11" i="10"/>
  <c r="N11" i="10"/>
  <c r="H11" i="10"/>
  <c r="P10" i="10"/>
  <c r="N10" i="10"/>
  <c r="H10" i="10"/>
  <c r="H16" i="10" s="1"/>
  <c r="P9" i="10"/>
  <c r="N9" i="10"/>
  <c r="N15" i="10" s="1"/>
  <c r="Q15" i="10" s="1"/>
  <c r="H9" i="10"/>
  <c r="P8" i="10"/>
  <c r="N8" i="10"/>
  <c r="Q8" i="10" s="1"/>
  <c r="R8" i="10" s="1"/>
  <c r="U8" i="10" s="1"/>
  <c r="H8" i="10"/>
  <c r="G8" i="10"/>
  <c r="P7" i="10"/>
  <c r="N7" i="10"/>
  <c r="H7" i="10"/>
  <c r="G7" i="10"/>
  <c r="P6" i="10"/>
  <c r="N6" i="10"/>
  <c r="H6" i="10"/>
  <c r="G6" i="10"/>
  <c r="P5" i="10"/>
  <c r="N5" i="10"/>
  <c r="H5" i="10"/>
  <c r="G5" i="10"/>
  <c r="P4" i="10"/>
  <c r="N4" i="10"/>
  <c r="N14" i="10" s="1"/>
  <c r="Q14" i="10" s="1"/>
  <c r="R14" i="10" s="1"/>
  <c r="U14" i="10" s="1"/>
  <c r="H4" i="10"/>
  <c r="G4" i="10"/>
  <c r="G10" i="10" s="1"/>
  <c r="G16" i="10" s="1"/>
  <c r="P3" i="10"/>
  <c r="N3" i="10"/>
  <c r="Q3" i="10" s="1"/>
  <c r="R3" i="10" s="1"/>
  <c r="U3" i="10" s="1"/>
  <c r="H3" i="10"/>
  <c r="G3" i="10"/>
  <c r="G11" i="10" s="1"/>
  <c r="Q2" i="10"/>
  <c r="R2" i="10" s="1"/>
  <c r="U2" i="10" s="1"/>
  <c r="P2" i="10"/>
  <c r="N2" i="10"/>
  <c r="M16" i="9"/>
  <c r="L16" i="9"/>
  <c r="K16" i="9"/>
  <c r="P16" i="9" s="1"/>
  <c r="J16" i="9"/>
  <c r="M15" i="9"/>
  <c r="L15" i="9"/>
  <c r="K15" i="9"/>
  <c r="J15" i="9"/>
  <c r="M14" i="9"/>
  <c r="L14" i="9"/>
  <c r="K14" i="9"/>
  <c r="J14" i="9"/>
  <c r="H14" i="9"/>
  <c r="H15" i="9" s="1"/>
  <c r="G14" i="9"/>
  <c r="G15" i="9" s="1"/>
  <c r="P13" i="9"/>
  <c r="N13" i="9"/>
  <c r="H13" i="9"/>
  <c r="P12" i="9"/>
  <c r="N12" i="9"/>
  <c r="H12" i="9"/>
  <c r="G12" i="9"/>
  <c r="P11" i="9"/>
  <c r="N11" i="9"/>
  <c r="H11" i="9"/>
  <c r="P10" i="9"/>
  <c r="N10" i="9"/>
  <c r="H10" i="9"/>
  <c r="H16" i="9" s="1"/>
  <c r="P9" i="9"/>
  <c r="N9" i="9"/>
  <c r="N15" i="9" s="1"/>
  <c r="H9" i="9"/>
  <c r="P8" i="9"/>
  <c r="N8" i="9"/>
  <c r="H8" i="9"/>
  <c r="G8" i="9"/>
  <c r="P7" i="9"/>
  <c r="N7" i="9"/>
  <c r="H7" i="9"/>
  <c r="G7" i="9"/>
  <c r="P6" i="9"/>
  <c r="N6" i="9"/>
  <c r="H6" i="9"/>
  <c r="G6" i="9"/>
  <c r="P5" i="9"/>
  <c r="N5" i="9"/>
  <c r="H5" i="9"/>
  <c r="G5" i="9"/>
  <c r="P4" i="9"/>
  <c r="N4" i="9"/>
  <c r="N14" i="9" s="1"/>
  <c r="Q14" i="9" s="1"/>
  <c r="R14" i="9" s="1"/>
  <c r="U14" i="9" s="1"/>
  <c r="H4" i="9"/>
  <c r="G4" i="9"/>
  <c r="G10" i="9" s="1"/>
  <c r="G16" i="9" s="1"/>
  <c r="P3" i="9"/>
  <c r="N3" i="9"/>
  <c r="H3" i="9"/>
  <c r="G3" i="9"/>
  <c r="G11" i="9" s="1"/>
  <c r="P2" i="9"/>
  <c r="N2" i="9"/>
  <c r="Q2" i="9" s="1"/>
  <c r="R2" i="9" s="1"/>
  <c r="U2" i="9" s="1"/>
  <c r="M16" i="8"/>
  <c r="L16" i="8"/>
  <c r="K16" i="8"/>
  <c r="P16" i="8" s="1"/>
  <c r="J16" i="8"/>
  <c r="M15" i="8"/>
  <c r="L15" i="8"/>
  <c r="K15" i="8"/>
  <c r="J15" i="8"/>
  <c r="M14" i="8"/>
  <c r="L14" i="8"/>
  <c r="K14" i="8"/>
  <c r="J14" i="8"/>
  <c r="H14" i="8"/>
  <c r="H15" i="8" s="1"/>
  <c r="G14" i="8"/>
  <c r="G15" i="8" s="1"/>
  <c r="P13" i="8"/>
  <c r="N13" i="8"/>
  <c r="H13" i="8"/>
  <c r="P12" i="8"/>
  <c r="N12" i="8"/>
  <c r="H12" i="8"/>
  <c r="G12" i="8"/>
  <c r="Q12" i="8" s="1"/>
  <c r="R12" i="8" s="1"/>
  <c r="U12" i="8" s="1"/>
  <c r="P11" i="8"/>
  <c r="N11" i="8"/>
  <c r="H11" i="8"/>
  <c r="P10" i="8"/>
  <c r="N10" i="8"/>
  <c r="H10" i="8"/>
  <c r="H16" i="8" s="1"/>
  <c r="P9" i="8"/>
  <c r="N9" i="8"/>
  <c r="N15" i="8" s="1"/>
  <c r="H9" i="8"/>
  <c r="G9" i="8"/>
  <c r="P8" i="8"/>
  <c r="N8" i="8"/>
  <c r="H8" i="8"/>
  <c r="G8" i="8"/>
  <c r="P7" i="8"/>
  <c r="N7" i="8"/>
  <c r="H7" i="8"/>
  <c r="G7" i="8"/>
  <c r="P6" i="8"/>
  <c r="N6" i="8"/>
  <c r="H6" i="8"/>
  <c r="G6" i="8"/>
  <c r="P5" i="8"/>
  <c r="N5" i="8"/>
  <c r="H5" i="8"/>
  <c r="G5" i="8"/>
  <c r="P4" i="8"/>
  <c r="N4" i="8"/>
  <c r="N14" i="8" s="1"/>
  <c r="Q14" i="8" s="1"/>
  <c r="R14" i="8" s="1"/>
  <c r="U14" i="8" s="1"/>
  <c r="H4" i="8"/>
  <c r="G4" i="8"/>
  <c r="P3" i="8"/>
  <c r="N3" i="8"/>
  <c r="H3" i="8"/>
  <c r="G3" i="8"/>
  <c r="G11" i="8" s="1"/>
  <c r="P2" i="8"/>
  <c r="N2" i="8"/>
  <c r="Q2" i="8" s="1"/>
  <c r="R2" i="8" s="1"/>
  <c r="U2" i="8" s="1"/>
  <c r="M16" i="7"/>
  <c r="L16" i="7"/>
  <c r="K16" i="7"/>
  <c r="P16" i="7" s="1"/>
  <c r="J16" i="7"/>
  <c r="M15" i="7"/>
  <c r="L15" i="7"/>
  <c r="K15" i="7"/>
  <c r="P15" i="7" s="1"/>
  <c r="J15" i="7"/>
  <c r="M14" i="7"/>
  <c r="L14" i="7"/>
  <c r="K14" i="7"/>
  <c r="P14" i="7" s="1"/>
  <c r="J14" i="7"/>
  <c r="H14" i="7"/>
  <c r="H15" i="7" s="1"/>
  <c r="G14" i="7"/>
  <c r="G15" i="7" s="1"/>
  <c r="P13" i="7"/>
  <c r="N13" i="7"/>
  <c r="H13" i="7"/>
  <c r="G13" i="7"/>
  <c r="P12" i="7"/>
  <c r="N12" i="7"/>
  <c r="H12" i="7"/>
  <c r="G12" i="7"/>
  <c r="P11" i="7"/>
  <c r="N11" i="7"/>
  <c r="H11" i="7"/>
  <c r="P10" i="7"/>
  <c r="N10" i="7"/>
  <c r="N15" i="7" s="1"/>
  <c r="H10" i="7"/>
  <c r="H16" i="7" s="1"/>
  <c r="P9" i="7"/>
  <c r="N9" i="7"/>
  <c r="H9" i="7"/>
  <c r="P8" i="7"/>
  <c r="N8" i="7"/>
  <c r="H8" i="7"/>
  <c r="G8" i="7"/>
  <c r="P7" i="7"/>
  <c r="N7" i="7"/>
  <c r="Q7" i="7" s="1"/>
  <c r="H7" i="7"/>
  <c r="G7" i="7"/>
  <c r="P6" i="7"/>
  <c r="N6" i="7"/>
  <c r="H6" i="7"/>
  <c r="G6" i="7"/>
  <c r="P5" i="7"/>
  <c r="N5" i="7"/>
  <c r="H5" i="7"/>
  <c r="G5" i="7"/>
  <c r="P4" i="7"/>
  <c r="N4" i="7"/>
  <c r="H4" i="7"/>
  <c r="G4" i="7"/>
  <c r="P3" i="7"/>
  <c r="N3" i="7"/>
  <c r="Q3" i="7" s="1"/>
  <c r="H3" i="7"/>
  <c r="G3" i="7"/>
  <c r="G11" i="7" s="1"/>
  <c r="P2" i="7"/>
  <c r="N2" i="7"/>
  <c r="Q2" i="7" s="1"/>
  <c r="R2" i="7" s="1"/>
  <c r="U2" i="7" s="1"/>
  <c r="M16" i="6"/>
  <c r="L16" i="6"/>
  <c r="K16" i="6"/>
  <c r="J16" i="6"/>
  <c r="N15" i="6"/>
  <c r="M15" i="6"/>
  <c r="L15" i="6"/>
  <c r="K15" i="6"/>
  <c r="P15" i="6" s="1"/>
  <c r="J15" i="6"/>
  <c r="M14" i="6"/>
  <c r="L14" i="6"/>
  <c r="K14" i="6"/>
  <c r="P14" i="6" s="1"/>
  <c r="J14" i="6"/>
  <c r="H14" i="6"/>
  <c r="H15" i="6" s="1"/>
  <c r="G14" i="6"/>
  <c r="G15" i="6" s="1"/>
  <c r="P13" i="6"/>
  <c r="N13" i="6"/>
  <c r="H13" i="6"/>
  <c r="P12" i="6"/>
  <c r="N12" i="6"/>
  <c r="H12" i="6"/>
  <c r="G12" i="6"/>
  <c r="P11" i="6"/>
  <c r="N11" i="6"/>
  <c r="H11" i="6"/>
  <c r="P10" i="6"/>
  <c r="N10" i="6"/>
  <c r="H10" i="6"/>
  <c r="H16" i="6" s="1"/>
  <c r="P9" i="6"/>
  <c r="N9" i="6"/>
  <c r="H9" i="6"/>
  <c r="P8" i="6"/>
  <c r="N8" i="6"/>
  <c r="Q8" i="6" s="1"/>
  <c r="R8" i="6" s="1"/>
  <c r="U8" i="6" s="1"/>
  <c r="H8" i="6"/>
  <c r="G8" i="6"/>
  <c r="P7" i="6"/>
  <c r="N7" i="6"/>
  <c r="Q7" i="6" s="1"/>
  <c r="R7" i="6" s="1"/>
  <c r="U7" i="6" s="1"/>
  <c r="H7" i="6"/>
  <c r="G7" i="6"/>
  <c r="P6" i="6"/>
  <c r="N6" i="6"/>
  <c r="H6" i="6"/>
  <c r="G6" i="6"/>
  <c r="P5" i="6"/>
  <c r="N5" i="6"/>
  <c r="H5" i="6"/>
  <c r="G5" i="6"/>
  <c r="P4" i="6"/>
  <c r="N4" i="6"/>
  <c r="H4" i="6"/>
  <c r="G4" i="6"/>
  <c r="G10" i="6" s="1"/>
  <c r="G16" i="6" s="1"/>
  <c r="P3" i="6"/>
  <c r="N3" i="6"/>
  <c r="H3" i="6"/>
  <c r="G3" i="6"/>
  <c r="G11" i="6" s="1"/>
  <c r="P2" i="6"/>
  <c r="N2" i="6"/>
  <c r="Q2" i="6" s="1"/>
  <c r="R2" i="6" s="1"/>
  <c r="U2" i="6" s="1"/>
  <c r="M16" i="5"/>
  <c r="L16" i="5"/>
  <c r="K16" i="5"/>
  <c r="P16" i="5" s="1"/>
  <c r="J16" i="5"/>
  <c r="M15" i="5"/>
  <c r="L15" i="5"/>
  <c r="K15" i="5"/>
  <c r="J15" i="5"/>
  <c r="M14" i="5"/>
  <c r="L14" i="5"/>
  <c r="K14" i="5"/>
  <c r="J14" i="5"/>
  <c r="H14" i="5"/>
  <c r="H15" i="5" s="1"/>
  <c r="G14" i="5"/>
  <c r="G15" i="5" s="1"/>
  <c r="P13" i="5"/>
  <c r="N13" i="5"/>
  <c r="H13" i="5"/>
  <c r="P12" i="5"/>
  <c r="N12" i="5"/>
  <c r="H12" i="5"/>
  <c r="G12" i="5"/>
  <c r="Q12" i="5" s="1"/>
  <c r="R12" i="5" s="1"/>
  <c r="U12" i="5" s="1"/>
  <c r="P11" i="5"/>
  <c r="N11" i="5"/>
  <c r="H11" i="5"/>
  <c r="P10" i="5"/>
  <c r="N10" i="5"/>
  <c r="H10" i="5"/>
  <c r="H16" i="5" s="1"/>
  <c r="P9" i="5"/>
  <c r="N9" i="5"/>
  <c r="N15" i="5" s="1"/>
  <c r="H9" i="5"/>
  <c r="P8" i="5"/>
  <c r="N8" i="5"/>
  <c r="H8" i="5"/>
  <c r="G8" i="5"/>
  <c r="P7" i="5"/>
  <c r="N7" i="5"/>
  <c r="Q7" i="5" s="1"/>
  <c r="H7" i="5"/>
  <c r="G7" i="5"/>
  <c r="P6" i="5"/>
  <c r="N6" i="5"/>
  <c r="Q6" i="5" s="1"/>
  <c r="H6" i="5"/>
  <c r="G6" i="5"/>
  <c r="P5" i="5"/>
  <c r="N5" i="5"/>
  <c r="H5" i="5"/>
  <c r="G5" i="5"/>
  <c r="P4" i="5"/>
  <c r="N4" i="5"/>
  <c r="N14" i="5" s="1"/>
  <c r="Q14" i="5" s="1"/>
  <c r="H4" i="5"/>
  <c r="G4" i="5"/>
  <c r="P3" i="5"/>
  <c r="N3" i="5"/>
  <c r="Q3" i="5" s="1"/>
  <c r="H3" i="5"/>
  <c r="G3" i="5"/>
  <c r="G11" i="5" s="1"/>
  <c r="P2" i="5"/>
  <c r="N2" i="5"/>
  <c r="Q2" i="5" s="1"/>
  <c r="R2" i="5" s="1"/>
  <c r="U2" i="5" s="1"/>
  <c r="M16" i="4"/>
  <c r="L16" i="4"/>
  <c r="K16" i="4"/>
  <c r="P16" i="4" s="1"/>
  <c r="J16" i="4"/>
  <c r="M15" i="4"/>
  <c r="L15" i="4"/>
  <c r="K15" i="4"/>
  <c r="J15" i="4"/>
  <c r="M14" i="4"/>
  <c r="L14" i="4"/>
  <c r="K14" i="4"/>
  <c r="J14" i="4"/>
  <c r="H14" i="4"/>
  <c r="H15" i="4" s="1"/>
  <c r="G14" i="4"/>
  <c r="G15" i="4" s="1"/>
  <c r="P13" i="4"/>
  <c r="N13" i="4"/>
  <c r="H13" i="4"/>
  <c r="P12" i="4"/>
  <c r="N12" i="4"/>
  <c r="H12" i="4"/>
  <c r="G12" i="4"/>
  <c r="Q12" i="4" s="1"/>
  <c r="R12" i="4" s="1"/>
  <c r="U12" i="4" s="1"/>
  <c r="P11" i="4"/>
  <c r="N11" i="4"/>
  <c r="H11" i="4"/>
  <c r="P10" i="4"/>
  <c r="N10" i="4"/>
  <c r="H10" i="4"/>
  <c r="H16" i="4" s="1"/>
  <c r="P9" i="4"/>
  <c r="N9" i="4"/>
  <c r="N15" i="4" s="1"/>
  <c r="H9" i="4"/>
  <c r="P8" i="4"/>
  <c r="N8" i="4"/>
  <c r="H8" i="4"/>
  <c r="G8" i="4"/>
  <c r="P7" i="4"/>
  <c r="N7" i="4"/>
  <c r="H7" i="4"/>
  <c r="G7" i="4"/>
  <c r="P6" i="4"/>
  <c r="N6" i="4"/>
  <c r="H6" i="4"/>
  <c r="G6" i="4"/>
  <c r="P5" i="4"/>
  <c r="N5" i="4"/>
  <c r="H5" i="4"/>
  <c r="G5" i="4"/>
  <c r="P4" i="4"/>
  <c r="N4" i="4"/>
  <c r="N14" i="4" s="1"/>
  <c r="Q14" i="4" s="1"/>
  <c r="H4" i="4"/>
  <c r="G4" i="4"/>
  <c r="P3" i="4"/>
  <c r="N3" i="4"/>
  <c r="H3" i="4"/>
  <c r="G3" i="4"/>
  <c r="G11" i="4" s="1"/>
  <c r="P2" i="4"/>
  <c r="N2" i="4"/>
  <c r="Q2" i="4" s="1"/>
  <c r="R2" i="4" s="1"/>
  <c r="U2" i="4" s="1"/>
  <c r="M16" i="3"/>
  <c r="L16" i="3"/>
  <c r="K16" i="3"/>
  <c r="J16" i="3"/>
  <c r="M15" i="3"/>
  <c r="L15" i="3"/>
  <c r="K15" i="3"/>
  <c r="J15" i="3"/>
  <c r="M14" i="3"/>
  <c r="L14" i="3"/>
  <c r="K14" i="3"/>
  <c r="J14" i="3"/>
  <c r="H14" i="3"/>
  <c r="H15" i="3" s="1"/>
  <c r="G14" i="3"/>
  <c r="G15" i="3" s="1"/>
  <c r="P13" i="3"/>
  <c r="N13" i="3"/>
  <c r="H13" i="3"/>
  <c r="P12" i="3"/>
  <c r="N12" i="3"/>
  <c r="H12" i="3"/>
  <c r="G12" i="3"/>
  <c r="P11" i="3"/>
  <c r="N11" i="3"/>
  <c r="H11" i="3"/>
  <c r="P10" i="3"/>
  <c r="N10" i="3"/>
  <c r="H10" i="3"/>
  <c r="H16" i="3" s="1"/>
  <c r="P9" i="3"/>
  <c r="N9" i="3"/>
  <c r="H9" i="3"/>
  <c r="P8" i="3"/>
  <c r="N8" i="3"/>
  <c r="H8" i="3"/>
  <c r="G8" i="3"/>
  <c r="P7" i="3"/>
  <c r="N7" i="3"/>
  <c r="Q7" i="3" s="1"/>
  <c r="R7" i="3" s="1"/>
  <c r="U7" i="3" s="1"/>
  <c r="H7" i="3"/>
  <c r="G7" i="3"/>
  <c r="P6" i="3"/>
  <c r="N6" i="3"/>
  <c r="Q6" i="3" s="1"/>
  <c r="R6" i="3" s="1"/>
  <c r="U6" i="3" s="1"/>
  <c r="H6" i="3"/>
  <c r="G6" i="3"/>
  <c r="P5" i="3"/>
  <c r="N5" i="3"/>
  <c r="H5" i="3"/>
  <c r="G5" i="3"/>
  <c r="P4" i="3"/>
  <c r="N4" i="3"/>
  <c r="N14" i="3" s="1"/>
  <c r="Q14" i="3" s="1"/>
  <c r="R14" i="3" s="1"/>
  <c r="U14" i="3" s="1"/>
  <c r="H4" i="3"/>
  <c r="G4" i="3"/>
  <c r="P3" i="3"/>
  <c r="N3" i="3"/>
  <c r="Q3" i="3" s="1"/>
  <c r="R3" i="3" s="1"/>
  <c r="U3" i="3" s="1"/>
  <c r="H3" i="3"/>
  <c r="G3" i="3"/>
  <c r="G11" i="3" s="1"/>
  <c r="P2" i="3"/>
  <c r="N2" i="3"/>
  <c r="Q2" i="3" s="1"/>
  <c r="R2" i="3" s="1"/>
  <c r="U2" i="3" s="1"/>
  <c r="M16" i="2"/>
  <c r="L16" i="2"/>
  <c r="K16" i="2"/>
  <c r="P16" i="2" s="1"/>
  <c r="J16" i="2"/>
  <c r="M15" i="2"/>
  <c r="L15" i="2"/>
  <c r="K15" i="2"/>
  <c r="J15" i="2"/>
  <c r="M14" i="2"/>
  <c r="L14" i="2"/>
  <c r="K14" i="2"/>
  <c r="P14" i="2" s="1"/>
  <c r="J14" i="2"/>
  <c r="H14" i="2"/>
  <c r="H15" i="2" s="1"/>
  <c r="G14" i="2"/>
  <c r="G15" i="2" s="1"/>
  <c r="P13" i="2"/>
  <c r="N13" i="2"/>
  <c r="H13" i="2"/>
  <c r="G13" i="2"/>
  <c r="Q13" i="2" s="1"/>
  <c r="P12" i="2"/>
  <c r="N12" i="2"/>
  <c r="H12" i="2"/>
  <c r="G12" i="2"/>
  <c r="P11" i="2"/>
  <c r="N11" i="2"/>
  <c r="H11" i="2"/>
  <c r="P10" i="2"/>
  <c r="N10" i="2"/>
  <c r="H10" i="2"/>
  <c r="H16" i="2" s="1"/>
  <c r="P9" i="2"/>
  <c r="N9" i="2"/>
  <c r="N15" i="2" s="1"/>
  <c r="H9" i="2"/>
  <c r="P8" i="2"/>
  <c r="N8" i="2"/>
  <c r="H8" i="2"/>
  <c r="G8" i="2"/>
  <c r="P7" i="2"/>
  <c r="N7" i="2"/>
  <c r="H7" i="2"/>
  <c r="G7" i="2"/>
  <c r="P6" i="2"/>
  <c r="N6" i="2"/>
  <c r="H6" i="2"/>
  <c r="G6" i="2"/>
  <c r="Q6" i="2" s="1"/>
  <c r="R6" i="2" s="1"/>
  <c r="U6" i="2" s="1"/>
  <c r="P5" i="2"/>
  <c r="N5" i="2"/>
  <c r="H5" i="2"/>
  <c r="G5" i="2"/>
  <c r="Q5" i="2" s="1"/>
  <c r="R5" i="2" s="1"/>
  <c r="U5" i="2" s="1"/>
  <c r="P4" i="2"/>
  <c r="N4" i="2"/>
  <c r="N14" i="2" s="1"/>
  <c r="H4" i="2"/>
  <c r="G4" i="2"/>
  <c r="G10" i="2" s="1"/>
  <c r="G16" i="2" s="1"/>
  <c r="P3" i="2"/>
  <c r="N3" i="2"/>
  <c r="H3" i="2"/>
  <c r="G3" i="2"/>
  <c r="G11" i="2" s="1"/>
  <c r="P2" i="2"/>
  <c r="N2" i="2"/>
  <c r="Q2" i="2" s="1"/>
  <c r="R2" i="2" s="1"/>
  <c r="U2" i="2" s="1"/>
  <c r="T2" i="10" l="1"/>
  <c r="W2" i="10" s="1"/>
  <c r="Q5" i="10"/>
  <c r="R5" i="10" s="1"/>
  <c r="U5" i="10" s="1"/>
  <c r="Q6" i="10"/>
  <c r="R6" i="10" s="1"/>
  <c r="G13" i="10"/>
  <c r="Q13" i="10" s="1"/>
  <c r="R13" i="10" s="1"/>
  <c r="U13" i="10" s="1"/>
  <c r="G9" i="10"/>
  <c r="Q9" i="10" s="1"/>
  <c r="R9" i="10" s="1"/>
  <c r="U9" i="10" s="1"/>
  <c r="Q11" i="10"/>
  <c r="R11" i="10" s="1"/>
  <c r="U11" i="10" s="1"/>
  <c r="Q12" i="10"/>
  <c r="R12" i="10" s="1"/>
  <c r="U12" i="10" s="1"/>
  <c r="T13" i="10"/>
  <c r="W13" i="10" s="1"/>
  <c r="N14" i="6"/>
  <c r="Q14" i="6" s="1"/>
  <c r="R14" i="6" s="1"/>
  <c r="U14" i="6" s="1"/>
  <c r="P16" i="6"/>
  <c r="Q6" i="6"/>
  <c r="Q5" i="6"/>
  <c r="R5" i="6" s="1"/>
  <c r="U5" i="6" s="1"/>
  <c r="R6" i="6"/>
  <c r="U6" i="6" s="1"/>
  <c r="G13" i="6"/>
  <c r="Q13" i="6" s="1"/>
  <c r="R13" i="6" s="1"/>
  <c r="U13" i="6" s="1"/>
  <c r="G9" i="6"/>
  <c r="Q9" i="6" s="1"/>
  <c r="R9" i="6" s="1"/>
  <c r="U9" i="6" s="1"/>
  <c r="Q12" i="6"/>
  <c r="R12" i="6" s="1"/>
  <c r="U12" i="6" s="1"/>
  <c r="Q8" i="4"/>
  <c r="Q5" i="4"/>
  <c r="Q4" i="4"/>
  <c r="P15" i="4"/>
  <c r="T15" i="4" s="1"/>
  <c r="W15" i="4" s="1"/>
  <c r="P14" i="4"/>
  <c r="R14" i="4"/>
  <c r="U14" i="4" s="1"/>
  <c r="R4" i="4"/>
  <c r="U4" i="4" s="1"/>
  <c r="R5" i="4"/>
  <c r="U5" i="4" s="1"/>
  <c r="R8" i="4"/>
  <c r="U8" i="4" s="1"/>
  <c r="G9" i="4"/>
  <c r="Q9" i="4" s="1"/>
  <c r="R9" i="4" s="1"/>
  <c r="U9" i="4" s="1"/>
  <c r="Q3" i="4"/>
  <c r="R3" i="4" s="1"/>
  <c r="U3" i="4" s="1"/>
  <c r="Q6" i="4"/>
  <c r="R6" i="4" s="1"/>
  <c r="U6" i="4" s="1"/>
  <c r="Q7" i="4"/>
  <c r="R7" i="4" s="1"/>
  <c r="U7" i="4" s="1"/>
  <c r="L5" i="13" s="1"/>
  <c r="G13" i="4"/>
  <c r="Q13" i="4" s="1"/>
  <c r="R13" i="4" s="1"/>
  <c r="U13" i="4" s="1"/>
  <c r="P15" i="2"/>
  <c r="G9" i="2"/>
  <c r="Q9" i="2" s="1"/>
  <c r="R9" i="2" s="1"/>
  <c r="U9" i="2" s="1"/>
  <c r="Q11" i="2"/>
  <c r="Q12" i="2"/>
  <c r="R12" i="2" s="1"/>
  <c r="Q15" i="2"/>
  <c r="R15" i="2" s="1"/>
  <c r="Q14" i="2"/>
  <c r="R14" i="2" s="1"/>
  <c r="U14" i="2" s="1"/>
  <c r="F3" i="13" s="1"/>
  <c r="Q7" i="2"/>
  <c r="Q8" i="2"/>
  <c r="R8" i="2" s="1"/>
  <c r="R11" i="2"/>
  <c r="U11" i="2" s="1"/>
  <c r="T2" i="2"/>
  <c r="W2" i="2" s="1"/>
  <c r="R7" i="2"/>
  <c r="U7" i="2" s="1"/>
  <c r="L3" i="13" s="1"/>
  <c r="T5" i="2"/>
  <c r="W5" i="2" s="1"/>
  <c r="T6" i="2"/>
  <c r="W6" i="2" s="1"/>
  <c r="T9" i="2"/>
  <c r="W9" i="2" s="1"/>
  <c r="R13" i="2"/>
  <c r="U13" i="2" s="1"/>
  <c r="Q9" i="8"/>
  <c r="R9" i="8" s="1"/>
  <c r="U9" i="8" s="1"/>
  <c r="P15" i="8"/>
  <c r="Q4" i="8"/>
  <c r="R4" i="8" s="1"/>
  <c r="U4" i="8" s="1"/>
  <c r="Q5" i="8"/>
  <c r="R5" i="8" s="1"/>
  <c r="U5" i="8" s="1"/>
  <c r="Q8" i="8"/>
  <c r="R8" i="8" s="1"/>
  <c r="U8" i="8" s="1"/>
  <c r="N9" i="13" s="1"/>
  <c r="P14" i="8"/>
  <c r="T4" i="8"/>
  <c r="W4" i="8" s="1"/>
  <c r="T8" i="8"/>
  <c r="W8" i="8" s="1"/>
  <c r="O9" i="13" s="1"/>
  <c r="T9" i="8"/>
  <c r="W9" i="8" s="1"/>
  <c r="Q3" i="8"/>
  <c r="R3" i="8" s="1"/>
  <c r="U3" i="8" s="1"/>
  <c r="Q6" i="8"/>
  <c r="R6" i="8" s="1"/>
  <c r="U6" i="8" s="1"/>
  <c r="G13" i="8"/>
  <c r="Q13" i="8" s="1"/>
  <c r="R13" i="8" s="1"/>
  <c r="U13" i="8" s="1"/>
  <c r="Q8" i="17"/>
  <c r="R3" i="17"/>
  <c r="U3" i="17" s="1"/>
  <c r="R6" i="17"/>
  <c r="U6" i="17" s="1"/>
  <c r="R4" i="17"/>
  <c r="U4" i="17" s="1"/>
  <c r="R5" i="17"/>
  <c r="U5" i="17" s="1"/>
  <c r="R8" i="17"/>
  <c r="U8" i="17" s="1"/>
  <c r="G9" i="17"/>
  <c r="Q9" i="17" s="1"/>
  <c r="R9" i="17" s="1"/>
  <c r="U9" i="17" s="1"/>
  <c r="Q12" i="7"/>
  <c r="R12" i="7" s="1"/>
  <c r="U12" i="7" s="1"/>
  <c r="Q13" i="7"/>
  <c r="R13" i="7" s="1"/>
  <c r="U13" i="7" s="1"/>
  <c r="Q4" i="7"/>
  <c r="R4" i="7" s="1"/>
  <c r="Q5" i="7"/>
  <c r="R5" i="7" s="1"/>
  <c r="U5" i="7" s="1"/>
  <c r="Q8" i="7"/>
  <c r="R8" i="7" s="1"/>
  <c r="N14" i="7"/>
  <c r="Q14" i="7" s="1"/>
  <c r="R14" i="7" s="1"/>
  <c r="U14" i="7" s="1"/>
  <c r="F8" i="13" s="1"/>
  <c r="R3" i="7"/>
  <c r="U3" i="7" s="1"/>
  <c r="R7" i="7"/>
  <c r="U7" i="7" s="1"/>
  <c r="G9" i="7"/>
  <c r="Q9" i="7" s="1"/>
  <c r="R9" i="7" s="1"/>
  <c r="U9" i="7" s="1"/>
  <c r="Q15" i="7"/>
  <c r="R15" i="7" s="1"/>
  <c r="U15" i="7" s="1"/>
  <c r="Q12" i="3"/>
  <c r="R12" i="3" s="1"/>
  <c r="U12" i="3" s="1"/>
  <c r="N15" i="3"/>
  <c r="P15" i="3"/>
  <c r="P16" i="3"/>
  <c r="P14" i="3"/>
  <c r="Q4" i="3"/>
  <c r="R4" i="3" s="1"/>
  <c r="U4" i="3" s="1"/>
  <c r="Q5" i="3"/>
  <c r="R5" i="3" s="1"/>
  <c r="U5" i="3" s="1"/>
  <c r="Q8" i="3"/>
  <c r="R8" i="3" s="1"/>
  <c r="U8" i="3" s="1"/>
  <c r="G9" i="3"/>
  <c r="Q9" i="3" s="1"/>
  <c r="R9" i="3" s="1"/>
  <c r="U9" i="3" s="1"/>
  <c r="G13" i="3"/>
  <c r="Q13" i="3" s="1"/>
  <c r="R13" i="3" s="1"/>
  <c r="Q8" i="14"/>
  <c r="R8" i="14" s="1"/>
  <c r="U8" i="14" s="1"/>
  <c r="N14" i="14"/>
  <c r="Q14" i="14" s="1"/>
  <c r="R14" i="14" s="1"/>
  <c r="U14" i="14" s="1"/>
  <c r="Q5" i="14"/>
  <c r="R5" i="14" s="1"/>
  <c r="U5" i="14" s="1"/>
  <c r="Q4" i="14"/>
  <c r="R4" i="14" s="1"/>
  <c r="U4" i="14" s="1"/>
  <c r="Q12" i="14"/>
  <c r="R12" i="14" s="1"/>
  <c r="U12" i="14" s="1"/>
  <c r="T5" i="14"/>
  <c r="W5" i="14" s="1"/>
  <c r="G9" i="14"/>
  <c r="Q9" i="14" s="1"/>
  <c r="R9" i="14" s="1"/>
  <c r="U9" i="14" s="1"/>
  <c r="Q15" i="14"/>
  <c r="R15" i="14" s="1"/>
  <c r="Q3" i="14"/>
  <c r="R3" i="14" s="1"/>
  <c r="U3" i="14" s="1"/>
  <c r="Q6" i="14"/>
  <c r="R6" i="14" s="1"/>
  <c r="U6" i="14" s="1"/>
  <c r="G13" i="14"/>
  <c r="Q13" i="14" s="1"/>
  <c r="R13" i="14" s="1"/>
  <c r="U13" i="14" s="1"/>
  <c r="N16" i="9"/>
  <c r="Q16" i="9" s="1"/>
  <c r="R16" i="9" s="1"/>
  <c r="P15" i="9"/>
  <c r="P14" i="9"/>
  <c r="T2" i="9"/>
  <c r="W2" i="9" s="1"/>
  <c r="Q5" i="9"/>
  <c r="R5" i="9" s="1"/>
  <c r="U5" i="9" s="1"/>
  <c r="Q6" i="9"/>
  <c r="R6" i="9" s="1"/>
  <c r="U6" i="9" s="1"/>
  <c r="Q12" i="9"/>
  <c r="R12" i="9" s="1"/>
  <c r="U12" i="9" s="1"/>
  <c r="G9" i="9"/>
  <c r="Q9" i="9" s="1"/>
  <c r="R9" i="9" s="1"/>
  <c r="U9" i="9" s="1"/>
  <c r="Q8" i="9"/>
  <c r="R8" i="9" s="1"/>
  <c r="U8" i="9" s="1"/>
  <c r="N10" i="13" s="1"/>
  <c r="G13" i="9"/>
  <c r="Q13" i="9" s="1"/>
  <c r="R13" i="9" s="1"/>
  <c r="U13" i="9" s="1"/>
  <c r="Q8" i="5"/>
  <c r="Q5" i="5"/>
  <c r="Q4" i="5"/>
  <c r="P15" i="5"/>
  <c r="P14" i="5"/>
  <c r="R3" i="5"/>
  <c r="U3" i="5" s="1"/>
  <c r="R14" i="5"/>
  <c r="U14" i="5" s="1"/>
  <c r="R6" i="5"/>
  <c r="U6" i="5" s="1"/>
  <c r="R7" i="5"/>
  <c r="U7" i="5" s="1"/>
  <c r="L6" i="13" s="1"/>
  <c r="R4" i="5"/>
  <c r="U4" i="5" s="1"/>
  <c r="R5" i="5"/>
  <c r="U5" i="5" s="1"/>
  <c r="R8" i="5"/>
  <c r="U8" i="5" s="1"/>
  <c r="N6" i="13" s="1"/>
  <c r="G9" i="5"/>
  <c r="Q9" i="5" s="1"/>
  <c r="R9" i="5" s="1"/>
  <c r="U9" i="5" s="1"/>
  <c r="G13" i="5"/>
  <c r="Q13" i="5" s="1"/>
  <c r="R13" i="5" s="1"/>
  <c r="U13" i="5" s="1"/>
  <c r="T2" i="33"/>
  <c r="W2" i="33" s="1"/>
  <c r="T4" i="33"/>
  <c r="W4" i="33" s="1"/>
  <c r="T5" i="33"/>
  <c r="W5" i="33" s="1"/>
  <c r="T6" i="33"/>
  <c r="W6" i="33" s="1"/>
  <c r="T8" i="33"/>
  <c r="W8" i="33" s="1"/>
  <c r="T9" i="33"/>
  <c r="W9" i="33" s="1"/>
  <c r="T16" i="33"/>
  <c r="W16" i="33" s="1"/>
  <c r="Q15" i="33"/>
  <c r="R15" i="33" s="1"/>
  <c r="U15" i="33" s="1"/>
  <c r="T12" i="33"/>
  <c r="W12" i="33" s="1"/>
  <c r="T13" i="33"/>
  <c r="W13" i="33" s="1"/>
  <c r="T14" i="33"/>
  <c r="W14" i="33" s="1"/>
  <c r="T3" i="33"/>
  <c r="W3" i="33" s="1"/>
  <c r="G10" i="33"/>
  <c r="G16" i="33" s="1"/>
  <c r="N16" i="33"/>
  <c r="Q16" i="33" s="1"/>
  <c r="R16" i="33" s="1"/>
  <c r="U16" i="33" s="1"/>
  <c r="T7" i="33"/>
  <c r="W7" i="33" s="1"/>
  <c r="Q11" i="33"/>
  <c r="R11" i="33" s="1"/>
  <c r="U11" i="33" s="1"/>
  <c r="Q15" i="32"/>
  <c r="R15" i="32" s="1"/>
  <c r="U15" i="32" s="1"/>
  <c r="T10" i="32"/>
  <c r="W10" i="32" s="1"/>
  <c r="T2" i="32"/>
  <c r="W2" i="32" s="1"/>
  <c r="T13" i="32"/>
  <c r="W13" i="32" s="1"/>
  <c r="T14" i="32"/>
  <c r="W14" i="32" s="1"/>
  <c r="T8" i="32"/>
  <c r="W8" i="32" s="1"/>
  <c r="O30" i="13" s="1"/>
  <c r="Q10" i="32"/>
  <c r="R10" i="32" s="1"/>
  <c r="U10" i="32" s="1"/>
  <c r="T12" i="32"/>
  <c r="W12" i="32" s="1"/>
  <c r="N16" i="32"/>
  <c r="Q16" i="32" s="1"/>
  <c r="R16" i="32" s="1"/>
  <c r="U16" i="32" s="1"/>
  <c r="Q3" i="32"/>
  <c r="R3" i="32" s="1"/>
  <c r="U3" i="32" s="1"/>
  <c r="Q7" i="32"/>
  <c r="R7" i="32" s="1"/>
  <c r="U7" i="32" s="1"/>
  <c r="Q11" i="32"/>
  <c r="R11" i="32" s="1"/>
  <c r="U11" i="32" s="1"/>
  <c r="Q4" i="32"/>
  <c r="R4" i="32" s="1"/>
  <c r="U4" i="32" s="1"/>
  <c r="T2" i="31"/>
  <c r="W2" i="31" s="1"/>
  <c r="T4" i="31"/>
  <c r="W4" i="31" s="1"/>
  <c r="T5" i="31"/>
  <c r="W5" i="31" s="1"/>
  <c r="T6" i="31"/>
  <c r="W6" i="31" s="1"/>
  <c r="T8" i="31"/>
  <c r="W8" i="31" s="1"/>
  <c r="T9" i="31"/>
  <c r="W9" i="31" s="1"/>
  <c r="Q11" i="31"/>
  <c r="R11" i="31" s="1"/>
  <c r="U11" i="31" s="1"/>
  <c r="Q15" i="31"/>
  <c r="R15" i="31" s="1"/>
  <c r="U15" i="31" s="1"/>
  <c r="T12" i="31"/>
  <c r="W12" i="31" s="1"/>
  <c r="T13" i="31"/>
  <c r="W13" i="31" s="1"/>
  <c r="T14" i="31"/>
  <c r="W14" i="31" s="1"/>
  <c r="G29" i="13" s="1"/>
  <c r="G10" i="31"/>
  <c r="G16" i="31" s="1"/>
  <c r="N16" i="31"/>
  <c r="Q16" i="31" s="1"/>
  <c r="R16" i="31" s="1"/>
  <c r="U16" i="31" s="1"/>
  <c r="Q3" i="31"/>
  <c r="R3" i="31" s="1"/>
  <c r="U3" i="31" s="1"/>
  <c r="Q7" i="31"/>
  <c r="R7" i="31" s="1"/>
  <c r="U7" i="31" s="1"/>
  <c r="T2" i="30"/>
  <c r="W2" i="30" s="1"/>
  <c r="T4" i="30"/>
  <c r="W4" i="30" s="1"/>
  <c r="T5" i="30"/>
  <c r="W5" i="30" s="1"/>
  <c r="T6" i="30"/>
  <c r="W6" i="30" s="1"/>
  <c r="T8" i="30"/>
  <c r="W8" i="30" s="1"/>
  <c r="T9" i="30"/>
  <c r="W9" i="30" s="1"/>
  <c r="Q11" i="30"/>
  <c r="R11" i="30" s="1"/>
  <c r="U11" i="30" s="1"/>
  <c r="Q15" i="30"/>
  <c r="R15" i="30" s="1"/>
  <c r="U15" i="30" s="1"/>
  <c r="T12" i="30"/>
  <c r="W12" i="30" s="1"/>
  <c r="T13" i="30"/>
  <c r="W13" i="30" s="1"/>
  <c r="T14" i="30"/>
  <c r="W14" i="30" s="1"/>
  <c r="G28" i="13" s="1"/>
  <c r="G10" i="30"/>
  <c r="G16" i="30" s="1"/>
  <c r="N16" i="30"/>
  <c r="Q16" i="30" s="1"/>
  <c r="R16" i="30" s="1"/>
  <c r="U16" i="30" s="1"/>
  <c r="Q3" i="30"/>
  <c r="R3" i="30" s="1"/>
  <c r="U3" i="30" s="1"/>
  <c r="Q7" i="30"/>
  <c r="R7" i="30" s="1"/>
  <c r="U7" i="30" s="1"/>
  <c r="Q11" i="29"/>
  <c r="R11" i="29" s="1"/>
  <c r="U11" i="29" s="1"/>
  <c r="Q15" i="29"/>
  <c r="R15" i="29" s="1"/>
  <c r="U15" i="29" s="1"/>
  <c r="T12" i="29"/>
  <c r="W12" i="29" s="1"/>
  <c r="T13" i="29"/>
  <c r="W13" i="29" s="1"/>
  <c r="T14" i="29"/>
  <c r="W14" i="29" s="1"/>
  <c r="T15" i="29"/>
  <c r="W15" i="29" s="1"/>
  <c r="T7" i="29"/>
  <c r="W7" i="29" s="1"/>
  <c r="G10" i="29"/>
  <c r="G16" i="29" s="1"/>
  <c r="N16" i="29"/>
  <c r="T11" i="29"/>
  <c r="W11" i="29" s="1"/>
  <c r="Q3" i="29"/>
  <c r="R3" i="29" s="1"/>
  <c r="U3" i="29" s="1"/>
  <c r="Q11" i="26"/>
  <c r="R11" i="26" s="1"/>
  <c r="U11" i="26" s="1"/>
  <c r="T13" i="26"/>
  <c r="W13" i="26" s="1"/>
  <c r="Q15" i="26"/>
  <c r="R15" i="26" s="1"/>
  <c r="U15" i="26" s="1"/>
  <c r="T2" i="26"/>
  <c r="W2" i="26" s="1"/>
  <c r="T5" i="26"/>
  <c r="W5" i="26" s="1"/>
  <c r="T9" i="26"/>
  <c r="W9" i="26" s="1"/>
  <c r="T14" i="26"/>
  <c r="W14" i="26" s="1"/>
  <c r="T15" i="26"/>
  <c r="W15" i="26" s="1"/>
  <c r="T3" i="26"/>
  <c r="W3" i="26" s="1"/>
  <c r="T7" i="26"/>
  <c r="W7" i="26" s="1"/>
  <c r="M26" i="13" s="1"/>
  <c r="T8" i="26"/>
  <c r="W8" i="26" s="1"/>
  <c r="Q10" i="26"/>
  <c r="R10" i="26" s="1"/>
  <c r="U10" i="26" s="1"/>
  <c r="T12" i="26"/>
  <c r="W12" i="26" s="1"/>
  <c r="N16" i="26"/>
  <c r="Q16" i="26" s="1"/>
  <c r="R16" i="26" s="1"/>
  <c r="U16" i="26" s="1"/>
  <c r="Q4" i="26"/>
  <c r="R4" i="26" s="1"/>
  <c r="U4" i="26" s="1"/>
  <c r="T2" i="25"/>
  <c r="W2" i="25" s="1"/>
  <c r="T5" i="25"/>
  <c r="W5" i="25" s="1"/>
  <c r="T9" i="25"/>
  <c r="W9" i="25" s="1"/>
  <c r="Q11" i="25"/>
  <c r="R11" i="25" s="1"/>
  <c r="U11" i="25" s="1"/>
  <c r="T13" i="25"/>
  <c r="W13" i="25" s="1"/>
  <c r="Q15" i="25"/>
  <c r="R15" i="25" s="1"/>
  <c r="U15" i="25" s="1"/>
  <c r="T3" i="25"/>
  <c r="W3" i="25" s="1"/>
  <c r="T4" i="25"/>
  <c r="W4" i="25" s="1"/>
  <c r="T8" i="25"/>
  <c r="W8" i="25" s="1"/>
  <c r="O25" i="13" s="1"/>
  <c r="Q10" i="25"/>
  <c r="R10" i="25" s="1"/>
  <c r="U10" i="25" s="1"/>
  <c r="T12" i="25"/>
  <c r="W12" i="25" s="1"/>
  <c r="N16" i="25"/>
  <c r="Q16" i="25" s="1"/>
  <c r="R16" i="25" s="1"/>
  <c r="U16" i="25" s="1"/>
  <c r="T7" i="25"/>
  <c r="W7" i="25" s="1"/>
  <c r="M25" i="13" s="1"/>
  <c r="Q4" i="25"/>
  <c r="R4" i="25" s="1"/>
  <c r="U4" i="25" s="1"/>
  <c r="T2" i="24"/>
  <c r="W2" i="24" s="1"/>
  <c r="T4" i="24"/>
  <c r="W4" i="24" s="1"/>
  <c r="T6" i="24"/>
  <c r="W6" i="24" s="1"/>
  <c r="T8" i="24"/>
  <c r="W8" i="24" s="1"/>
  <c r="Q11" i="24"/>
  <c r="R11" i="24" s="1"/>
  <c r="U11" i="24" s="1"/>
  <c r="Q15" i="24"/>
  <c r="R15" i="24" s="1"/>
  <c r="U15" i="24" s="1"/>
  <c r="T12" i="24"/>
  <c r="W12" i="24" s="1"/>
  <c r="T13" i="24"/>
  <c r="W13" i="24" s="1"/>
  <c r="T14" i="24"/>
  <c r="W14" i="24" s="1"/>
  <c r="G10" i="24"/>
  <c r="G16" i="24" s="1"/>
  <c r="N16" i="24"/>
  <c r="T3" i="24"/>
  <c r="W3" i="24" s="1"/>
  <c r="Q7" i="24"/>
  <c r="R7" i="24" s="1"/>
  <c r="U7" i="24" s="1"/>
  <c r="Q11" i="23"/>
  <c r="R11" i="23" s="1"/>
  <c r="U11" i="23" s="1"/>
  <c r="T13" i="23"/>
  <c r="W13" i="23" s="1"/>
  <c r="Q15" i="23"/>
  <c r="R15" i="23" s="1"/>
  <c r="U15" i="23" s="1"/>
  <c r="T14" i="23"/>
  <c r="W14" i="23" s="1"/>
  <c r="T15" i="23"/>
  <c r="W15" i="23" s="1"/>
  <c r="T3" i="23"/>
  <c r="W3" i="23" s="1"/>
  <c r="T8" i="23"/>
  <c r="W8" i="23" s="1"/>
  <c r="Q10" i="23"/>
  <c r="R10" i="23" s="1"/>
  <c r="U10" i="23" s="1"/>
  <c r="N16" i="23"/>
  <c r="Q16" i="23" s="1"/>
  <c r="R16" i="23" s="1"/>
  <c r="U16" i="23" s="1"/>
  <c r="T7" i="23"/>
  <c r="W7" i="23" s="1"/>
  <c r="Q4" i="23"/>
  <c r="R4" i="23" s="1"/>
  <c r="U4" i="23" s="1"/>
  <c r="T2" i="22"/>
  <c r="W2" i="22" s="1"/>
  <c r="T4" i="22"/>
  <c r="W4" i="22" s="1"/>
  <c r="T5" i="22"/>
  <c r="W5" i="22" s="1"/>
  <c r="T6" i="22"/>
  <c r="W6" i="22" s="1"/>
  <c r="T8" i="22"/>
  <c r="W8" i="22" s="1"/>
  <c r="T9" i="22"/>
  <c r="W9" i="22" s="1"/>
  <c r="Q11" i="22"/>
  <c r="R11" i="22" s="1"/>
  <c r="U11" i="22" s="1"/>
  <c r="Q15" i="22"/>
  <c r="R15" i="22" s="1"/>
  <c r="U15" i="22" s="1"/>
  <c r="T12" i="22"/>
  <c r="W12" i="22" s="1"/>
  <c r="T13" i="22"/>
  <c r="W13" i="22" s="1"/>
  <c r="T14" i="22"/>
  <c r="W14" i="22" s="1"/>
  <c r="T3" i="22"/>
  <c r="W3" i="22" s="1"/>
  <c r="T11" i="22"/>
  <c r="W11" i="22" s="1"/>
  <c r="G10" i="22"/>
  <c r="G16" i="22" s="1"/>
  <c r="N16" i="22"/>
  <c r="T7" i="22"/>
  <c r="W7" i="22" s="1"/>
  <c r="M22" i="13" s="1"/>
  <c r="T2" i="21"/>
  <c r="W2" i="21" s="1"/>
  <c r="T6" i="21"/>
  <c r="W6" i="21" s="1"/>
  <c r="T16" i="21"/>
  <c r="W16" i="21" s="1"/>
  <c r="Q11" i="21"/>
  <c r="R11" i="21" s="1"/>
  <c r="U11" i="21" s="1"/>
  <c r="Q15" i="21"/>
  <c r="R15" i="21" s="1"/>
  <c r="U15" i="21" s="1"/>
  <c r="Q10" i="21"/>
  <c r="R10" i="21" s="1"/>
  <c r="U10" i="21" s="1"/>
  <c r="T12" i="21"/>
  <c r="W12" i="21" s="1"/>
  <c r="T13" i="21"/>
  <c r="W13" i="21" s="1"/>
  <c r="T14" i="21"/>
  <c r="W14" i="21" s="1"/>
  <c r="T15" i="21"/>
  <c r="W15" i="21" s="1"/>
  <c r="T3" i="21"/>
  <c r="W3" i="21" s="1"/>
  <c r="T11" i="21"/>
  <c r="W11" i="21" s="1"/>
  <c r="G10" i="21"/>
  <c r="G16" i="21" s="1"/>
  <c r="N16" i="21"/>
  <c r="Q16" i="21" s="1"/>
  <c r="R16" i="21" s="1"/>
  <c r="U16" i="21" s="1"/>
  <c r="T7" i="21"/>
  <c r="W7" i="21" s="1"/>
  <c r="T4" i="20"/>
  <c r="W4" i="20" s="1"/>
  <c r="T5" i="20"/>
  <c r="W5" i="20" s="1"/>
  <c r="T7" i="20"/>
  <c r="W7" i="20" s="1"/>
  <c r="T8" i="20"/>
  <c r="W8" i="20" s="1"/>
  <c r="O20" i="13" s="1"/>
  <c r="Q16" i="20"/>
  <c r="R16" i="20" s="1"/>
  <c r="U16" i="20" s="1"/>
  <c r="T14" i="20"/>
  <c r="W14" i="20" s="1"/>
  <c r="T10" i="20"/>
  <c r="W10" i="20" s="1"/>
  <c r="T11" i="20"/>
  <c r="W11" i="20" s="1"/>
  <c r="T12" i="20"/>
  <c r="W12" i="20" s="1"/>
  <c r="T15" i="20"/>
  <c r="W15" i="20" s="1"/>
  <c r="T2" i="20"/>
  <c r="W2" i="20" s="1"/>
  <c r="Q13" i="20"/>
  <c r="R13" i="20" s="1"/>
  <c r="U13" i="20" s="1"/>
  <c r="G9" i="20"/>
  <c r="Q9" i="20" s="1"/>
  <c r="R9" i="20" s="1"/>
  <c r="G13" i="20"/>
  <c r="Q2" i="20"/>
  <c r="R2" i="20" s="1"/>
  <c r="U2" i="20" s="1"/>
  <c r="Q6" i="20"/>
  <c r="R6" i="20" s="1"/>
  <c r="U6" i="20" s="1"/>
  <c r="G10" i="20"/>
  <c r="G16" i="20" s="1"/>
  <c r="Q10" i="20"/>
  <c r="R10" i="20" s="1"/>
  <c r="U10" i="20" s="1"/>
  <c r="Q3" i="20"/>
  <c r="R3" i="20" s="1"/>
  <c r="U3" i="20" s="1"/>
  <c r="T2" i="19"/>
  <c r="W2" i="19" s="1"/>
  <c r="T4" i="19"/>
  <c r="W4" i="19" s="1"/>
  <c r="T5" i="19"/>
  <c r="W5" i="19" s="1"/>
  <c r="T6" i="19"/>
  <c r="W6" i="19" s="1"/>
  <c r="T8" i="19"/>
  <c r="W8" i="19" s="1"/>
  <c r="T9" i="19"/>
  <c r="W9" i="19" s="1"/>
  <c r="T11" i="19"/>
  <c r="W11" i="19" s="1"/>
  <c r="Q15" i="19"/>
  <c r="R15" i="19" s="1"/>
  <c r="U15" i="19" s="1"/>
  <c r="Q10" i="19"/>
  <c r="R10" i="19" s="1"/>
  <c r="U10" i="19" s="1"/>
  <c r="T12" i="19"/>
  <c r="W12" i="19" s="1"/>
  <c r="T13" i="19"/>
  <c r="W13" i="19" s="1"/>
  <c r="T14" i="19"/>
  <c r="W14" i="19" s="1"/>
  <c r="T15" i="19"/>
  <c r="W15" i="19" s="1"/>
  <c r="T7" i="19"/>
  <c r="W7" i="19" s="1"/>
  <c r="G10" i="19"/>
  <c r="G16" i="19" s="1"/>
  <c r="N16" i="19"/>
  <c r="Q16" i="19" s="1"/>
  <c r="R16" i="19" s="1"/>
  <c r="U16" i="19" s="1"/>
  <c r="Q3" i="19"/>
  <c r="R3" i="19" s="1"/>
  <c r="U3" i="19" s="1"/>
  <c r="Q11" i="19"/>
  <c r="R11" i="19" s="1"/>
  <c r="U11" i="19" s="1"/>
  <c r="T6" i="18"/>
  <c r="W6" i="18" s="1"/>
  <c r="T9" i="18"/>
  <c r="W9" i="18" s="1"/>
  <c r="T10" i="18"/>
  <c r="W10" i="18" s="1"/>
  <c r="T13" i="18"/>
  <c r="W13" i="18" s="1"/>
  <c r="Q15" i="18"/>
  <c r="R15" i="18" s="1"/>
  <c r="U15" i="18" s="1"/>
  <c r="T14" i="18"/>
  <c r="W14" i="18" s="1"/>
  <c r="T15" i="18"/>
  <c r="W15" i="18" s="1"/>
  <c r="T3" i="18"/>
  <c r="W3" i="18" s="1"/>
  <c r="T8" i="18"/>
  <c r="W8" i="18" s="1"/>
  <c r="T12" i="18"/>
  <c r="W12" i="18" s="1"/>
  <c r="T7" i="18"/>
  <c r="W7" i="18" s="1"/>
  <c r="M18" i="13" s="1"/>
  <c r="T11" i="18"/>
  <c r="W11" i="18" s="1"/>
  <c r="N16" i="18"/>
  <c r="Q16" i="18" s="1"/>
  <c r="R16" i="18" s="1"/>
  <c r="U16" i="18" s="1"/>
  <c r="Q4" i="18"/>
  <c r="R4" i="18" s="1"/>
  <c r="U4" i="18" s="1"/>
  <c r="T2" i="17"/>
  <c r="W2" i="17" s="1"/>
  <c r="T4" i="17"/>
  <c r="W4" i="17" s="1"/>
  <c r="T6" i="17"/>
  <c r="W6" i="17" s="1"/>
  <c r="T8" i="17"/>
  <c r="W8" i="17" s="1"/>
  <c r="T9" i="17"/>
  <c r="W9" i="17" s="1"/>
  <c r="Q11" i="17"/>
  <c r="R11" i="17" s="1"/>
  <c r="U11" i="17" s="1"/>
  <c r="Q15" i="17"/>
  <c r="R15" i="17" s="1"/>
  <c r="U15" i="17" s="1"/>
  <c r="T12" i="17"/>
  <c r="W12" i="17" s="1"/>
  <c r="T13" i="17"/>
  <c r="W13" i="17" s="1"/>
  <c r="T14" i="17"/>
  <c r="W14" i="17" s="1"/>
  <c r="G17" i="13" s="1"/>
  <c r="T3" i="17"/>
  <c r="W3" i="17" s="1"/>
  <c r="G10" i="17"/>
  <c r="G16" i="17" s="1"/>
  <c r="N16" i="17"/>
  <c r="Q7" i="17"/>
  <c r="R7" i="17" s="1"/>
  <c r="U7" i="17" s="1"/>
  <c r="T9" i="16"/>
  <c r="W9" i="16" s="1"/>
  <c r="T5" i="16"/>
  <c r="W5" i="16" s="1"/>
  <c r="T3" i="16"/>
  <c r="W3" i="16" s="1"/>
  <c r="T7" i="16"/>
  <c r="W7" i="16" s="1"/>
  <c r="G9" i="16"/>
  <c r="Q9" i="16" s="1"/>
  <c r="R9" i="16" s="1"/>
  <c r="U9" i="16" s="1"/>
  <c r="T11" i="16"/>
  <c r="W11" i="16" s="1"/>
  <c r="G13" i="16"/>
  <c r="Q13" i="16" s="1"/>
  <c r="R13" i="16" s="1"/>
  <c r="U13" i="16" s="1"/>
  <c r="N15" i="16"/>
  <c r="Q15" i="16" s="1"/>
  <c r="R15" i="16" s="1"/>
  <c r="U15" i="16" s="1"/>
  <c r="G10" i="16"/>
  <c r="G16" i="16" s="1"/>
  <c r="N16" i="16"/>
  <c r="T5" i="15"/>
  <c r="W5" i="15" s="1"/>
  <c r="T13" i="15"/>
  <c r="W13" i="15" s="1"/>
  <c r="Q15" i="15"/>
  <c r="R15" i="15" s="1"/>
  <c r="U15" i="15" s="1"/>
  <c r="T9" i="15"/>
  <c r="W9" i="15" s="1"/>
  <c r="T14" i="15"/>
  <c r="W14" i="15" s="1"/>
  <c r="T15" i="15"/>
  <c r="W15" i="15" s="1"/>
  <c r="T3" i="15"/>
  <c r="W3" i="15" s="1"/>
  <c r="T7" i="15"/>
  <c r="W7" i="15" s="1"/>
  <c r="Q10" i="15"/>
  <c r="R10" i="15" s="1"/>
  <c r="U10" i="15" s="1"/>
  <c r="N16" i="15"/>
  <c r="Q16" i="15" s="1"/>
  <c r="R16" i="15" s="1"/>
  <c r="U16" i="15" s="1"/>
  <c r="Q11" i="15"/>
  <c r="R11" i="15" s="1"/>
  <c r="U11" i="15" s="1"/>
  <c r="T8" i="15"/>
  <c r="W8" i="15" s="1"/>
  <c r="O15" i="13" s="1"/>
  <c r="T12" i="15"/>
  <c r="W12" i="15" s="1"/>
  <c r="Q4" i="15"/>
  <c r="R4" i="15" s="1"/>
  <c r="U4" i="15" s="1"/>
  <c r="Q11" i="14"/>
  <c r="R11" i="14" s="1"/>
  <c r="U11" i="14" s="1"/>
  <c r="T12" i="14"/>
  <c r="W12" i="14" s="1"/>
  <c r="T14" i="14"/>
  <c r="W14" i="14" s="1"/>
  <c r="G14" i="13" s="1"/>
  <c r="G10" i="14"/>
  <c r="G16" i="14" s="1"/>
  <c r="N16" i="14"/>
  <c r="Q16" i="14" s="1"/>
  <c r="R16" i="14" s="1"/>
  <c r="U16" i="14" s="1"/>
  <c r="T3" i="14"/>
  <c r="W3" i="14" s="1"/>
  <c r="Q7" i="14"/>
  <c r="R7" i="14" s="1"/>
  <c r="U7" i="14" s="1"/>
  <c r="T2" i="12"/>
  <c r="W2" i="12" s="1"/>
  <c r="T4" i="12"/>
  <c r="W4" i="12" s="1"/>
  <c r="T5" i="12"/>
  <c r="W5" i="12" s="1"/>
  <c r="T6" i="12"/>
  <c r="W6" i="12" s="1"/>
  <c r="T8" i="12"/>
  <c r="W8" i="12" s="1"/>
  <c r="T9" i="12"/>
  <c r="W9" i="12" s="1"/>
  <c r="Q11" i="12"/>
  <c r="R11" i="12" s="1"/>
  <c r="U11" i="12" s="1"/>
  <c r="Q10" i="12"/>
  <c r="R10" i="12" s="1"/>
  <c r="U10" i="12" s="1"/>
  <c r="T12" i="12"/>
  <c r="W12" i="12" s="1"/>
  <c r="T13" i="12"/>
  <c r="W13" i="12" s="1"/>
  <c r="T14" i="12"/>
  <c r="W14" i="12" s="1"/>
  <c r="T15" i="12"/>
  <c r="W15" i="12" s="1"/>
  <c r="G10" i="12"/>
  <c r="G16" i="12" s="1"/>
  <c r="N16" i="12"/>
  <c r="Q16" i="12" s="1"/>
  <c r="R16" i="12" s="1"/>
  <c r="U16" i="12" s="1"/>
  <c r="Q3" i="12"/>
  <c r="R3" i="12" s="1"/>
  <c r="U3" i="12" s="1"/>
  <c r="Q7" i="12"/>
  <c r="R7" i="12" s="1"/>
  <c r="U7" i="12" s="1"/>
  <c r="T14" i="10"/>
  <c r="W14" i="10" s="1"/>
  <c r="G11" i="13" s="1"/>
  <c r="R15" i="10"/>
  <c r="U15" i="10" s="1"/>
  <c r="Q10" i="10"/>
  <c r="R10" i="10" s="1"/>
  <c r="U10" i="10" s="1"/>
  <c r="N16" i="10"/>
  <c r="Q16" i="10" s="1"/>
  <c r="R16" i="10" s="1"/>
  <c r="U16" i="10" s="1"/>
  <c r="T3" i="10"/>
  <c r="W3" i="10" s="1"/>
  <c r="T15" i="10"/>
  <c r="W15" i="10" s="1"/>
  <c r="Q7" i="10"/>
  <c r="R7" i="10" s="1"/>
  <c r="U7" i="10" s="1"/>
  <c r="T8" i="10"/>
  <c r="W8" i="10" s="1"/>
  <c r="Q4" i="10"/>
  <c r="R4" i="10" s="1"/>
  <c r="U4" i="10" s="1"/>
  <c r="T14" i="9"/>
  <c r="W14" i="9" s="1"/>
  <c r="G10" i="13" s="1"/>
  <c r="Q15" i="9"/>
  <c r="R15" i="9" s="1"/>
  <c r="U15" i="9" s="1"/>
  <c r="Q3" i="9"/>
  <c r="R3" i="9" s="1"/>
  <c r="U3" i="9" s="1"/>
  <c r="Q7" i="9"/>
  <c r="R7" i="9" s="1"/>
  <c r="U7" i="9" s="1"/>
  <c r="L10" i="13" s="1"/>
  <c r="Q11" i="9"/>
  <c r="R11" i="9" s="1"/>
  <c r="U11" i="9" s="1"/>
  <c r="Q10" i="9"/>
  <c r="R10" i="9" s="1"/>
  <c r="U10" i="9" s="1"/>
  <c r="Q4" i="9"/>
  <c r="R4" i="9" s="1"/>
  <c r="U4" i="9" s="1"/>
  <c r="T2" i="8"/>
  <c r="W2" i="8" s="1"/>
  <c r="Q15" i="8"/>
  <c r="R15" i="8" s="1"/>
  <c r="U15" i="8" s="1"/>
  <c r="T12" i="8"/>
  <c r="W12" i="8" s="1"/>
  <c r="T13" i="8"/>
  <c r="W13" i="8" s="1"/>
  <c r="T14" i="8"/>
  <c r="W14" i="8" s="1"/>
  <c r="G9" i="13" s="1"/>
  <c r="T3" i="8"/>
  <c r="W3" i="8" s="1"/>
  <c r="G10" i="8"/>
  <c r="G16" i="8" s="1"/>
  <c r="N16" i="8"/>
  <c r="Q7" i="8"/>
  <c r="R7" i="8" s="1"/>
  <c r="U7" i="8" s="1"/>
  <c r="L9" i="13" s="1"/>
  <c r="Q11" i="8"/>
  <c r="R11" i="8" s="1"/>
  <c r="U11" i="8" s="1"/>
  <c r="T2" i="7"/>
  <c r="W2" i="7" s="1"/>
  <c r="T9" i="7"/>
  <c r="W9" i="7" s="1"/>
  <c r="Q11" i="7"/>
  <c r="R11" i="7" s="1"/>
  <c r="U11" i="7" s="1"/>
  <c r="T12" i="7"/>
  <c r="W12" i="7" s="1"/>
  <c r="Q6" i="7"/>
  <c r="R6" i="7" s="1"/>
  <c r="U6" i="7" s="1"/>
  <c r="G10" i="7"/>
  <c r="G16" i="7" s="1"/>
  <c r="Q10" i="7"/>
  <c r="R10" i="7" s="1"/>
  <c r="U10" i="7" s="1"/>
  <c r="N16" i="7"/>
  <c r="Q16" i="7" s="1"/>
  <c r="R16" i="7" s="1"/>
  <c r="U16" i="7" s="1"/>
  <c r="T3" i="7"/>
  <c r="W3" i="7" s="1"/>
  <c r="T7" i="7"/>
  <c r="W7" i="7" s="1"/>
  <c r="M8" i="13" s="1"/>
  <c r="T11" i="7"/>
  <c r="W11" i="7" s="1"/>
  <c r="Q15" i="6"/>
  <c r="R15" i="6" s="1"/>
  <c r="U15" i="6" s="1"/>
  <c r="Q11" i="6"/>
  <c r="R11" i="6" s="1"/>
  <c r="U11" i="6" s="1"/>
  <c r="T2" i="6"/>
  <c r="W2" i="6" s="1"/>
  <c r="T14" i="6"/>
  <c r="W14" i="6" s="1"/>
  <c r="G7" i="13" s="1"/>
  <c r="T7" i="6"/>
  <c r="W7" i="6" s="1"/>
  <c r="N16" i="6"/>
  <c r="Q16" i="6" s="1"/>
  <c r="R16" i="6" s="1"/>
  <c r="U16" i="6" s="1"/>
  <c r="Q3" i="6"/>
  <c r="R3" i="6" s="1"/>
  <c r="U3" i="6" s="1"/>
  <c r="T8" i="6"/>
  <c r="W8" i="6" s="1"/>
  <c r="O7" i="13" s="1"/>
  <c r="Q10" i="6"/>
  <c r="R10" i="6" s="1"/>
  <c r="U10" i="6" s="1"/>
  <c r="Q4" i="6"/>
  <c r="R4" i="6" s="1"/>
  <c r="U4" i="6" s="1"/>
  <c r="T2" i="5"/>
  <c r="W2" i="5" s="1"/>
  <c r="Q11" i="5"/>
  <c r="R11" i="5" s="1"/>
  <c r="U11" i="5" s="1"/>
  <c r="Q15" i="5"/>
  <c r="R15" i="5" s="1"/>
  <c r="U15" i="5" s="1"/>
  <c r="T12" i="5"/>
  <c r="W12" i="5" s="1"/>
  <c r="T13" i="5"/>
  <c r="W13" i="5" s="1"/>
  <c r="T3" i="5"/>
  <c r="W3" i="5" s="1"/>
  <c r="T11" i="5"/>
  <c r="W11" i="5" s="1"/>
  <c r="G10" i="5"/>
  <c r="G16" i="5" s="1"/>
  <c r="N16" i="5"/>
  <c r="Q16" i="5" s="1"/>
  <c r="R16" i="5" s="1"/>
  <c r="U16" i="5" s="1"/>
  <c r="T2" i="4"/>
  <c r="W2" i="4" s="1"/>
  <c r="T4" i="4"/>
  <c r="W4" i="4" s="1"/>
  <c r="T5" i="4"/>
  <c r="W5" i="4" s="1"/>
  <c r="Q15" i="4"/>
  <c r="R15" i="4" s="1"/>
  <c r="U15" i="4" s="1"/>
  <c r="T12" i="4"/>
  <c r="W12" i="4" s="1"/>
  <c r="T13" i="4"/>
  <c r="W13" i="4" s="1"/>
  <c r="T3" i="4"/>
  <c r="W3" i="4" s="1"/>
  <c r="G10" i="4"/>
  <c r="G16" i="4" s="1"/>
  <c r="N16" i="4"/>
  <c r="Q11" i="4"/>
  <c r="R11" i="4" s="1"/>
  <c r="U11" i="4" s="1"/>
  <c r="T6" i="3"/>
  <c r="W6" i="3" s="1"/>
  <c r="T9" i="3"/>
  <c r="W9" i="3" s="1"/>
  <c r="Q11" i="3"/>
  <c r="R11" i="3" s="1"/>
  <c r="U11" i="3" s="1"/>
  <c r="Q15" i="3"/>
  <c r="R15" i="3" s="1"/>
  <c r="U15" i="3" s="1"/>
  <c r="T2" i="3"/>
  <c r="W2" i="3" s="1"/>
  <c r="T12" i="3"/>
  <c r="W12" i="3" s="1"/>
  <c r="T14" i="3"/>
  <c r="W14" i="3" s="1"/>
  <c r="G4" i="13" s="1"/>
  <c r="T7" i="3"/>
  <c r="W7" i="3" s="1"/>
  <c r="M4" i="13" s="1"/>
  <c r="G10" i="3"/>
  <c r="G16" i="3" s="1"/>
  <c r="N16" i="3"/>
  <c r="T3" i="3"/>
  <c r="W3" i="3" s="1"/>
  <c r="N16" i="2"/>
  <c r="Q16" i="2" s="1"/>
  <c r="R16" i="2" s="1"/>
  <c r="U16" i="2" s="1"/>
  <c r="Q3" i="2"/>
  <c r="R3" i="2" s="1"/>
  <c r="U3" i="2" s="1"/>
  <c r="Q10" i="2"/>
  <c r="R10" i="2" s="1"/>
  <c r="U10" i="2" s="1"/>
  <c r="Q4" i="2"/>
  <c r="R4" i="2" s="1"/>
  <c r="U4" i="2" s="1"/>
  <c r="O29" i="13"/>
  <c r="O28" i="13"/>
  <c r="O27" i="13"/>
  <c r="O26" i="13"/>
  <c r="O24" i="13"/>
  <c r="O23" i="13"/>
  <c r="O22" i="13"/>
  <c r="O21" i="13"/>
  <c r="O19" i="13"/>
  <c r="O18" i="13"/>
  <c r="O17" i="13"/>
  <c r="O16" i="13"/>
  <c r="O13" i="13"/>
  <c r="O12" i="13"/>
  <c r="O1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7" i="13"/>
  <c r="N5" i="13"/>
  <c r="N4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8" i="13"/>
  <c r="L7" i="13"/>
  <c r="L4" i="13"/>
  <c r="M27" i="13"/>
  <c r="M23" i="13"/>
  <c r="M21" i="13"/>
  <c r="M20" i="13"/>
  <c r="M19" i="13"/>
  <c r="M16" i="13"/>
  <c r="M15" i="13"/>
  <c r="M12" i="13"/>
  <c r="M7" i="13"/>
  <c r="G30" i="13"/>
  <c r="G27" i="13"/>
  <c r="G26" i="13"/>
  <c r="G25" i="13"/>
  <c r="G24" i="13"/>
  <c r="G23" i="13"/>
  <c r="G22" i="13"/>
  <c r="G21" i="13"/>
  <c r="G20" i="13"/>
  <c r="G19" i="13"/>
  <c r="G18" i="13"/>
  <c r="G16" i="13"/>
  <c r="G15" i="13"/>
  <c r="G13" i="13"/>
  <c r="G12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7" i="13"/>
  <c r="F6" i="13"/>
  <c r="F5" i="13"/>
  <c r="F4" i="13"/>
  <c r="T12" i="10" l="1"/>
  <c r="W12" i="10" s="1"/>
  <c r="U6" i="10"/>
  <c r="T6" i="10"/>
  <c r="W6" i="10" s="1"/>
  <c r="T5" i="10"/>
  <c r="W5" i="10" s="1"/>
  <c r="T9" i="10"/>
  <c r="W9" i="10" s="1"/>
  <c r="T11" i="10"/>
  <c r="W11" i="10" s="1"/>
  <c r="T5" i="6"/>
  <c r="W5" i="6" s="1"/>
  <c r="T12" i="6"/>
  <c r="W12" i="6" s="1"/>
  <c r="T6" i="6"/>
  <c r="W6" i="6" s="1"/>
  <c r="T4" i="6"/>
  <c r="W4" i="6" s="1"/>
  <c r="T13" i="6"/>
  <c r="W13" i="6" s="1"/>
  <c r="T9" i="6"/>
  <c r="W9" i="6" s="1"/>
  <c r="T15" i="6"/>
  <c r="W15" i="6" s="1"/>
  <c r="T16" i="6"/>
  <c r="W16" i="6" s="1"/>
  <c r="T14" i="4"/>
  <c r="W14" i="4" s="1"/>
  <c r="G5" i="13" s="1"/>
  <c r="T9" i="4"/>
  <c r="W9" i="4" s="1"/>
  <c r="T6" i="4"/>
  <c r="W6" i="4" s="1"/>
  <c r="T8" i="4"/>
  <c r="W8" i="4" s="1"/>
  <c r="O5" i="13" s="1"/>
  <c r="T7" i="4"/>
  <c r="W7" i="4" s="1"/>
  <c r="M5" i="13" s="1"/>
  <c r="U12" i="2"/>
  <c r="T12" i="2"/>
  <c r="U8" i="2"/>
  <c r="N3" i="13" s="1"/>
  <c r="T8" i="2"/>
  <c r="W8" i="2" s="1"/>
  <c r="O3" i="13" s="1"/>
  <c r="T7" i="2"/>
  <c r="W7" i="2" s="1"/>
  <c r="M3" i="13" s="1"/>
  <c r="U15" i="2"/>
  <c r="T15" i="2"/>
  <c r="T4" i="2"/>
  <c r="W4" i="2" s="1"/>
  <c r="T14" i="2"/>
  <c r="W14" i="2" s="1"/>
  <c r="G3" i="13" s="1"/>
  <c r="T11" i="2"/>
  <c r="W11" i="2" s="1"/>
  <c r="T13" i="2"/>
  <c r="W13" i="2" s="1"/>
  <c r="T5" i="8"/>
  <c r="W5" i="8" s="1"/>
  <c r="T15" i="8"/>
  <c r="W15" i="8" s="1"/>
  <c r="Q16" i="8"/>
  <c r="R16" i="8" s="1"/>
  <c r="U16" i="8" s="1"/>
  <c r="T6" i="8"/>
  <c r="W6" i="8" s="1"/>
  <c r="T11" i="17"/>
  <c r="W11" i="17" s="1"/>
  <c r="T5" i="17"/>
  <c r="W5" i="17" s="1"/>
  <c r="Q16" i="17"/>
  <c r="R16" i="17" s="1"/>
  <c r="U16" i="17" s="1"/>
  <c r="T15" i="17"/>
  <c r="W15" i="17" s="1"/>
  <c r="Q10" i="17"/>
  <c r="R10" i="17" s="1"/>
  <c r="U10" i="17" s="1"/>
  <c r="U4" i="7"/>
  <c r="T4" i="7"/>
  <c r="W4" i="7" s="1"/>
  <c r="T15" i="7"/>
  <c r="W15" i="7" s="1"/>
  <c r="T13" i="7"/>
  <c r="W13" i="7" s="1"/>
  <c r="U8" i="7"/>
  <c r="N8" i="13" s="1"/>
  <c r="T8" i="7"/>
  <c r="W8" i="7" s="1"/>
  <c r="O8" i="13" s="1"/>
  <c r="T14" i="7"/>
  <c r="W14" i="7" s="1"/>
  <c r="G8" i="13" s="1"/>
  <c r="T5" i="7"/>
  <c r="W5" i="7" s="1"/>
  <c r="T4" i="3"/>
  <c r="W4" i="3" s="1"/>
  <c r="T8" i="3"/>
  <c r="W8" i="3" s="1"/>
  <c r="O4" i="13" s="1"/>
  <c r="T5" i="3"/>
  <c r="W5" i="3" s="1"/>
  <c r="U13" i="3"/>
  <c r="T13" i="3"/>
  <c r="W13" i="3" s="1"/>
  <c r="T11" i="3"/>
  <c r="W11" i="3" s="1"/>
  <c r="T8" i="14"/>
  <c r="W8" i="14" s="1"/>
  <c r="O14" i="13" s="1"/>
  <c r="T4" i="14"/>
  <c r="W4" i="14" s="1"/>
  <c r="T7" i="14"/>
  <c r="W7" i="14" s="1"/>
  <c r="M14" i="13" s="1"/>
  <c r="U15" i="14"/>
  <c r="T15" i="14"/>
  <c r="T6" i="14"/>
  <c r="W6" i="14" s="1"/>
  <c r="T11" i="14"/>
  <c r="W11" i="14" s="1"/>
  <c r="T13" i="14"/>
  <c r="W13" i="14" s="1"/>
  <c r="T9" i="14"/>
  <c r="W9" i="14" s="1"/>
  <c r="U16" i="9"/>
  <c r="T16" i="9"/>
  <c r="W16" i="9" s="1"/>
  <c r="T12" i="9"/>
  <c r="W12" i="9" s="1"/>
  <c r="T9" i="9"/>
  <c r="W9" i="9" s="1"/>
  <c r="T6" i="9"/>
  <c r="W6" i="9" s="1"/>
  <c r="T8" i="9"/>
  <c r="W8" i="9" s="1"/>
  <c r="O10" i="13" s="1"/>
  <c r="T5" i="9"/>
  <c r="W5" i="9" s="1"/>
  <c r="T13" i="9"/>
  <c r="W13" i="9" s="1"/>
  <c r="T8" i="5"/>
  <c r="W8" i="5" s="1"/>
  <c r="O6" i="13" s="1"/>
  <c r="T7" i="5"/>
  <c r="W7" i="5" s="1"/>
  <c r="M6" i="13" s="1"/>
  <c r="T4" i="5"/>
  <c r="W4" i="5" s="1"/>
  <c r="T9" i="5"/>
  <c r="W9" i="5" s="1"/>
  <c r="T15" i="5"/>
  <c r="W15" i="5" s="1"/>
  <c r="T6" i="5"/>
  <c r="W6" i="5" s="1"/>
  <c r="T14" i="5"/>
  <c r="W14" i="5" s="1"/>
  <c r="G6" i="13" s="1"/>
  <c r="T5" i="5"/>
  <c r="W5" i="5" s="1"/>
  <c r="T15" i="33"/>
  <c r="W15" i="33" s="1"/>
  <c r="Q10" i="33"/>
  <c r="R10" i="33" s="1"/>
  <c r="T11" i="33"/>
  <c r="W11" i="33" s="1"/>
  <c r="T4" i="32"/>
  <c r="W4" i="32" s="1"/>
  <c r="T7" i="32"/>
  <c r="W7" i="32" s="1"/>
  <c r="M30" i="13" s="1"/>
  <c r="T15" i="32"/>
  <c r="W15" i="32" s="1"/>
  <c r="T3" i="32"/>
  <c r="W3" i="32" s="1"/>
  <c r="T11" i="32"/>
  <c r="W11" i="32" s="1"/>
  <c r="T16" i="32"/>
  <c r="W16" i="32" s="1"/>
  <c r="T11" i="31"/>
  <c r="W11" i="31" s="1"/>
  <c r="T16" i="31"/>
  <c r="W16" i="31" s="1"/>
  <c r="T15" i="31"/>
  <c r="W15" i="31" s="1"/>
  <c r="Q10" i="31"/>
  <c r="R10" i="31" s="1"/>
  <c r="T7" i="31"/>
  <c r="W7" i="31" s="1"/>
  <c r="M29" i="13" s="1"/>
  <c r="T3" i="31"/>
  <c r="W3" i="31" s="1"/>
  <c r="T11" i="30"/>
  <c r="W11" i="30" s="1"/>
  <c r="T7" i="30"/>
  <c r="W7" i="30" s="1"/>
  <c r="M28" i="13" s="1"/>
  <c r="T15" i="30"/>
  <c r="W15" i="30" s="1"/>
  <c r="Q10" i="30"/>
  <c r="R10" i="30" s="1"/>
  <c r="T16" i="30"/>
  <c r="W16" i="30" s="1"/>
  <c r="T3" i="30"/>
  <c r="W3" i="30" s="1"/>
  <c r="Q10" i="29"/>
  <c r="R10" i="29" s="1"/>
  <c r="Q16" i="29"/>
  <c r="R16" i="29" s="1"/>
  <c r="U16" i="29" s="1"/>
  <c r="T3" i="29"/>
  <c r="W3" i="29" s="1"/>
  <c r="T16" i="29"/>
  <c r="W16" i="29" s="1"/>
  <c r="T11" i="26"/>
  <c r="W11" i="26" s="1"/>
  <c r="T16" i="26"/>
  <c r="W16" i="26" s="1"/>
  <c r="T4" i="26"/>
  <c r="W4" i="26" s="1"/>
  <c r="T10" i="26"/>
  <c r="W10" i="26" s="1"/>
  <c r="T10" i="25"/>
  <c r="W10" i="25" s="1"/>
  <c r="T11" i="25"/>
  <c r="W11" i="25" s="1"/>
  <c r="T16" i="25"/>
  <c r="W16" i="25" s="1"/>
  <c r="T15" i="25"/>
  <c r="W15" i="25" s="1"/>
  <c r="T11" i="24"/>
  <c r="W11" i="24" s="1"/>
  <c r="T15" i="24"/>
  <c r="W15" i="24" s="1"/>
  <c r="Q10" i="24"/>
  <c r="R10" i="24" s="1"/>
  <c r="Q16" i="24"/>
  <c r="R16" i="24" s="1"/>
  <c r="U16" i="24" s="1"/>
  <c r="T7" i="24"/>
  <c r="W7" i="24" s="1"/>
  <c r="M24" i="13" s="1"/>
  <c r="T4" i="23"/>
  <c r="W4" i="23" s="1"/>
  <c r="T16" i="23"/>
  <c r="W16" i="23" s="1"/>
  <c r="T11" i="23"/>
  <c r="W11" i="23" s="1"/>
  <c r="T10" i="23"/>
  <c r="W10" i="23" s="1"/>
  <c r="Q16" i="22"/>
  <c r="R16" i="22" s="1"/>
  <c r="T15" i="22"/>
  <c r="W15" i="22" s="1"/>
  <c r="Q10" i="22"/>
  <c r="R10" i="22" s="1"/>
  <c r="T10" i="21"/>
  <c r="W10" i="21" s="1"/>
  <c r="U9" i="20"/>
  <c r="T9" i="20"/>
  <c r="T3" i="20"/>
  <c r="W3" i="20" s="1"/>
  <c r="T16" i="20"/>
  <c r="W16" i="20" s="1"/>
  <c r="T6" i="20"/>
  <c r="W6" i="20" s="1"/>
  <c r="T13" i="20"/>
  <c r="W13" i="20" s="1"/>
  <c r="T10" i="19"/>
  <c r="W10" i="19" s="1"/>
  <c r="T3" i="19"/>
  <c r="W3" i="19" s="1"/>
  <c r="T16" i="19"/>
  <c r="W16" i="19" s="1"/>
  <c r="T4" i="18"/>
  <c r="W4" i="18" s="1"/>
  <c r="T16" i="18"/>
  <c r="W16" i="18" s="1"/>
  <c r="T7" i="17"/>
  <c r="W7" i="17" s="1"/>
  <c r="M17" i="13" s="1"/>
  <c r="Q16" i="16"/>
  <c r="R16" i="16" s="1"/>
  <c r="U16" i="16" s="1"/>
  <c r="T13" i="16"/>
  <c r="W13" i="16" s="1"/>
  <c r="T15" i="16"/>
  <c r="W15" i="16" s="1"/>
  <c r="Q10" i="16"/>
  <c r="R10" i="16" s="1"/>
  <c r="T4" i="15"/>
  <c r="W4" i="15" s="1"/>
  <c r="T11" i="15"/>
  <c r="W11" i="15" s="1"/>
  <c r="T10" i="15"/>
  <c r="W10" i="15" s="1"/>
  <c r="T16" i="15"/>
  <c r="W16" i="15" s="1"/>
  <c r="Q10" i="14"/>
  <c r="R10" i="14" s="1"/>
  <c r="T16" i="14"/>
  <c r="W16" i="14" s="1"/>
  <c r="T10" i="12"/>
  <c r="W10" i="12" s="1"/>
  <c r="T16" i="12"/>
  <c r="W16" i="12" s="1"/>
  <c r="T7" i="12"/>
  <c r="W7" i="12" s="1"/>
  <c r="M13" i="13" s="1"/>
  <c r="T11" i="12"/>
  <c r="W11" i="12" s="1"/>
  <c r="T3" i="12"/>
  <c r="W3" i="12" s="1"/>
  <c r="T10" i="10"/>
  <c r="W10" i="10" s="1"/>
  <c r="T4" i="10"/>
  <c r="W4" i="10" s="1"/>
  <c r="T7" i="10"/>
  <c r="W7" i="10" s="1"/>
  <c r="M11" i="13" s="1"/>
  <c r="T16" i="10"/>
  <c r="W16" i="10" s="1"/>
  <c r="T11" i="9"/>
  <c r="W11" i="9" s="1"/>
  <c r="T15" i="9"/>
  <c r="W15" i="9" s="1"/>
  <c r="T4" i="9"/>
  <c r="W4" i="9" s="1"/>
  <c r="T10" i="9"/>
  <c r="W10" i="9" s="1"/>
  <c r="T3" i="9"/>
  <c r="W3" i="9" s="1"/>
  <c r="T7" i="9"/>
  <c r="W7" i="9" s="1"/>
  <c r="M10" i="13" s="1"/>
  <c r="Q10" i="8"/>
  <c r="R10" i="8" s="1"/>
  <c r="T11" i="8"/>
  <c r="W11" i="8" s="1"/>
  <c r="T7" i="8"/>
  <c r="W7" i="8" s="1"/>
  <c r="M9" i="13" s="1"/>
  <c r="T6" i="7"/>
  <c r="W6" i="7" s="1"/>
  <c r="T16" i="7"/>
  <c r="W16" i="7" s="1"/>
  <c r="T10" i="7"/>
  <c r="W10" i="7" s="1"/>
  <c r="T11" i="6"/>
  <c r="W11" i="6" s="1"/>
  <c r="T3" i="6"/>
  <c r="W3" i="6" s="1"/>
  <c r="T10" i="6"/>
  <c r="W10" i="6" s="1"/>
  <c r="Q10" i="5"/>
  <c r="R10" i="5" s="1"/>
  <c r="T16" i="5"/>
  <c r="W16" i="5" s="1"/>
  <c r="Q16" i="4"/>
  <c r="R16" i="4" s="1"/>
  <c r="U16" i="4" s="1"/>
  <c r="Q10" i="4"/>
  <c r="R10" i="4" s="1"/>
  <c r="T11" i="4"/>
  <c r="W11" i="4" s="1"/>
  <c r="T15" i="3"/>
  <c r="W15" i="3" s="1"/>
  <c r="Q10" i="3"/>
  <c r="R10" i="3" s="1"/>
  <c r="Q16" i="3"/>
  <c r="R16" i="3" s="1"/>
  <c r="U16" i="3" s="1"/>
  <c r="T16" i="2"/>
  <c r="W16" i="2" s="1"/>
  <c r="T3" i="2"/>
  <c r="W3" i="2" s="1"/>
  <c r="T10" i="2"/>
  <c r="W10" i="2" s="1"/>
  <c r="M16" i="1"/>
  <c r="L16" i="1"/>
  <c r="K16" i="1"/>
  <c r="J16" i="1"/>
  <c r="M15" i="1"/>
  <c r="L15" i="1"/>
  <c r="K15" i="1"/>
  <c r="J15" i="1"/>
  <c r="M14" i="1"/>
  <c r="L14" i="1"/>
  <c r="K14" i="1"/>
  <c r="P14" i="1" s="1"/>
  <c r="J14" i="1"/>
  <c r="H14" i="1"/>
  <c r="H15" i="1" s="1"/>
  <c r="G14" i="1"/>
  <c r="G15" i="1" s="1"/>
  <c r="P13" i="1"/>
  <c r="N13" i="1"/>
  <c r="H13" i="1"/>
  <c r="P12" i="1"/>
  <c r="N12" i="1"/>
  <c r="H12" i="1"/>
  <c r="G12" i="1"/>
  <c r="Q12" i="1" s="1"/>
  <c r="R12" i="1" s="1"/>
  <c r="U12" i="1" s="1"/>
  <c r="P11" i="1"/>
  <c r="N11" i="1"/>
  <c r="H11" i="1"/>
  <c r="P10" i="1"/>
  <c r="N10" i="1"/>
  <c r="H10" i="1"/>
  <c r="H16" i="1" s="1"/>
  <c r="P9" i="1"/>
  <c r="N9" i="1"/>
  <c r="N15" i="1" s="1"/>
  <c r="Q15" i="1" s="1"/>
  <c r="R15" i="1" s="1"/>
  <c r="U15" i="1" s="1"/>
  <c r="H9" i="1"/>
  <c r="P8" i="1"/>
  <c r="N8" i="1"/>
  <c r="H8" i="1"/>
  <c r="G8" i="1"/>
  <c r="P7" i="1"/>
  <c r="N7" i="1"/>
  <c r="H7" i="1"/>
  <c r="G7" i="1"/>
  <c r="P6" i="1"/>
  <c r="N6" i="1"/>
  <c r="H6" i="1"/>
  <c r="G6" i="1"/>
  <c r="P5" i="1"/>
  <c r="N5" i="1"/>
  <c r="H5" i="1"/>
  <c r="G5" i="1"/>
  <c r="P4" i="1"/>
  <c r="N4" i="1"/>
  <c r="N14" i="1" s="1"/>
  <c r="Q14" i="1" s="1"/>
  <c r="H4" i="1"/>
  <c r="G4" i="1"/>
  <c r="P3" i="1"/>
  <c r="N3" i="1"/>
  <c r="H3" i="1"/>
  <c r="G3" i="1"/>
  <c r="G11" i="1" s="1"/>
  <c r="P2" i="1"/>
  <c r="N2" i="1"/>
  <c r="Q2" i="1" s="1"/>
  <c r="R2" i="1" s="1"/>
  <c r="U2" i="1" s="1"/>
  <c r="T16" i="4" l="1"/>
  <c r="W16" i="4" s="1"/>
  <c r="W15" i="2"/>
  <c r="W12" i="2"/>
  <c r="T16" i="8"/>
  <c r="W16" i="8" s="1"/>
  <c r="T16" i="17"/>
  <c r="W16" i="17" s="1"/>
  <c r="T10" i="17"/>
  <c r="W10" i="17" s="1"/>
  <c r="T16" i="3"/>
  <c r="W16" i="3" s="1"/>
  <c r="W15" i="14"/>
  <c r="P15" i="1"/>
  <c r="P16" i="1"/>
  <c r="N16" i="1"/>
  <c r="Q11" i="1"/>
  <c r="R11" i="1" s="1"/>
  <c r="U11" i="1" s="1"/>
  <c r="Q4" i="1"/>
  <c r="Q7" i="1"/>
  <c r="R7" i="1" s="1"/>
  <c r="Q8" i="1"/>
  <c r="R8" i="1" s="1"/>
  <c r="U8" i="1" s="1"/>
  <c r="N2" i="13" s="1"/>
  <c r="R14" i="1"/>
  <c r="U14" i="1" s="1"/>
  <c r="F2" i="13" s="1"/>
  <c r="R4" i="1"/>
  <c r="U4" i="1" s="1"/>
  <c r="Q5" i="1"/>
  <c r="R5" i="1" s="1"/>
  <c r="U5" i="1" s="1"/>
  <c r="U10" i="33"/>
  <c r="T10" i="33"/>
  <c r="W10" i="33" s="1"/>
  <c r="U10" i="31"/>
  <c r="T10" i="31"/>
  <c r="W10" i="31" s="1"/>
  <c r="U10" i="30"/>
  <c r="T10" i="30"/>
  <c r="W10" i="30" s="1"/>
  <c r="U10" i="29"/>
  <c r="T10" i="29"/>
  <c r="W10" i="29" s="1"/>
  <c r="U10" i="24"/>
  <c r="T10" i="24"/>
  <c r="W10" i="24" s="1"/>
  <c r="T16" i="24"/>
  <c r="W16" i="24" s="1"/>
  <c r="U10" i="22"/>
  <c r="T10" i="22"/>
  <c r="U16" i="22"/>
  <c r="T16" i="22"/>
  <c r="W16" i="22" s="1"/>
  <c r="W9" i="20"/>
  <c r="T16" i="16"/>
  <c r="W16" i="16" s="1"/>
  <c r="U10" i="16"/>
  <c r="T10" i="16"/>
  <c r="W10" i="16" s="1"/>
  <c r="U10" i="14"/>
  <c r="T10" i="14"/>
  <c r="U10" i="8"/>
  <c r="T10" i="8"/>
  <c r="U10" i="5"/>
  <c r="T10" i="5"/>
  <c r="U10" i="4"/>
  <c r="T10" i="4"/>
  <c r="U10" i="3"/>
  <c r="T10" i="3"/>
  <c r="T12" i="1"/>
  <c r="W12" i="1" s="1"/>
  <c r="T15" i="1"/>
  <c r="W15" i="1" s="1"/>
  <c r="G9" i="1"/>
  <c r="Q9" i="1" s="1"/>
  <c r="R9" i="1" s="1"/>
  <c r="G13" i="1"/>
  <c r="Q13" i="1" s="1"/>
  <c r="R13" i="1" s="1"/>
  <c r="T2" i="1"/>
  <c r="W2" i="1" s="1"/>
  <c r="Q6" i="1"/>
  <c r="R6" i="1" s="1"/>
  <c r="U6" i="1" s="1"/>
  <c r="G10" i="1"/>
  <c r="G16" i="1" s="1"/>
  <c r="Q16" i="1" s="1"/>
  <c r="R16" i="1" s="1"/>
  <c r="Q3" i="1"/>
  <c r="R3" i="1" s="1"/>
  <c r="U3" i="1" s="1"/>
  <c r="W10" i="4" l="1"/>
  <c r="W10" i="8"/>
  <c r="W10" i="3"/>
  <c r="W10" i="5"/>
  <c r="U7" i="1"/>
  <c r="L2" i="13" s="1"/>
  <c r="T7" i="1"/>
  <c r="W7" i="1" s="1"/>
  <c r="M2" i="13" s="1"/>
  <c r="T4" i="1"/>
  <c r="W4" i="1" s="1"/>
  <c r="T11" i="1"/>
  <c r="W11" i="1" s="1"/>
  <c r="T14" i="1"/>
  <c r="W14" i="1" s="1"/>
  <c r="G2" i="13" s="1"/>
  <c r="T8" i="1"/>
  <c r="W8" i="1" s="1"/>
  <c r="O2" i="13" s="1"/>
  <c r="T5" i="1"/>
  <c r="W5" i="1" s="1"/>
  <c r="W10" i="22"/>
  <c r="W10" i="14"/>
  <c r="U13" i="1"/>
  <c r="T13" i="1"/>
  <c r="U16" i="1"/>
  <c r="T16" i="1"/>
  <c r="U9" i="1"/>
  <c r="T9" i="1"/>
  <c r="T3" i="1"/>
  <c r="W3" i="1" s="1"/>
  <c r="Q10" i="1"/>
  <c r="R10" i="1" s="1"/>
  <c r="T6" i="1"/>
  <c r="W6" i="1" s="1"/>
  <c r="W9" i="1" l="1"/>
  <c r="W13" i="1"/>
  <c r="W16" i="1"/>
  <c r="U10" i="1"/>
  <c r="T10" i="1"/>
  <c r="W10" i="1" l="1"/>
  <c r="E30" i="13"/>
  <c r="O31" i="13"/>
  <c r="N31" i="13"/>
  <c r="M31" i="13"/>
  <c r="L31" i="13"/>
  <c r="K31" i="13"/>
  <c r="J31" i="13"/>
  <c r="F31" i="13"/>
  <c r="E31" i="13"/>
  <c r="D31" i="13"/>
  <c r="K30" i="13"/>
  <c r="J30" i="13"/>
  <c r="D30" i="13"/>
  <c r="K29" i="13"/>
  <c r="J29" i="13"/>
  <c r="E29" i="13"/>
  <c r="D29" i="13"/>
  <c r="K28" i="13"/>
  <c r="J28" i="13"/>
  <c r="E28" i="13"/>
  <c r="D28" i="13"/>
  <c r="K27" i="13"/>
  <c r="J27" i="13"/>
  <c r="D27" i="13"/>
  <c r="H30" i="13" l="1"/>
  <c r="I28" i="13"/>
  <c r="H29" i="13"/>
  <c r="H31" i="13"/>
  <c r="H28" i="13"/>
  <c r="G31" i="13"/>
  <c r="I31" i="13" s="1"/>
  <c r="I30" i="13"/>
  <c r="I29" i="13"/>
  <c r="H27" i="13"/>
  <c r="E27" i="13"/>
  <c r="I27" i="13" s="1"/>
  <c r="S1" i="13" l="1"/>
  <c r="Q28" i="13" l="1"/>
  <c r="Q29" i="13"/>
  <c r="Q23" i="13"/>
  <c r="Q30" i="13"/>
  <c r="Q27" i="13"/>
  <c r="Q31" i="13"/>
  <c r="Q6" i="13"/>
  <c r="Q10" i="13"/>
  <c r="Q14" i="13"/>
  <c r="Q18" i="13"/>
  <c r="Q22" i="13"/>
  <c r="Q2" i="13"/>
  <c r="Q15" i="13"/>
  <c r="Q24" i="13"/>
  <c r="Q25" i="13"/>
  <c r="Q3" i="13"/>
  <c r="Q7" i="13"/>
  <c r="Q11" i="13"/>
  <c r="Q19" i="13"/>
  <c r="Q4" i="13"/>
  <c r="Q8" i="13"/>
  <c r="Q12" i="13"/>
  <c r="Q20" i="13"/>
  <c r="Q5" i="13"/>
  <c r="Q9" i="13"/>
  <c r="Q13" i="13"/>
  <c r="Q17" i="13"/>
  <c r="Q21" i="13"/>
  <c r="Q26" i="13"/>
  <c r="Q16" i="13"/>
  <c r="K26" i="13"/>
  <c r="J26" i="13"/>
  <c r="E26" i="13"/>
  <c r="D26" i="13"/>
  <c r="K25" i="13"/>
  <c r="J25" i="13"/>
  <c r="E25" i="13"/>
  <c r="I25" i="13" s="1"/>
  <c r="D25" i="13"/>
  <c r="K23" i="13"/>
  <c r="J23" i="13"/>
  <c r="E23" i="13"/>
  <c r="D23" i="13"/>
  <c r="K16" i="13"/>
  <c r="J16" i="13"/>
  <c r="E16" i="13"/>
  <c r="D16" i="13"/>
  <c r="K14" i="13"/>
  <c r="J14" i="13"/>
  <c r="E14" i="13"/>
  <c r="D14" i="13"/>
  <c r="K11" i="13"/>
  <c r="J11" i="13"/>
  <c r="E11" i="13"/>
  <c r="D11" i="13"/>
  <c r="K10" i="13"/>
  <c r="J10" i="13"/>
  <c r="E10" i="13"/>
  <c r="D10" i="13"/>
  <c r="K7" i="13"/>
  <c r="J7" i="13"/>
  <c r="E7" i="13"/>
  <c r="D7" i="13"/>
  <c r="K6" i="13"/>
  <c r="J6" i="13"/>
  <c r="E6" i="13"/>
  <c r="D6" i="13"/>
  <c r="K4" i="13"/>
  <c r="J4" i="13"/>
  <c r="E4" i="13"/>
  <c r="D4" i="13"/>
  <c r="K3" i="13"/>
  <c r="J3" i="13"/>
  <c r="E3" i="13"/>
  <c r="D3" i="13"/>
  <c r="I26" i="13" l="1"/>
  <c r="I14" i="13"/>
  <c r="I10" i="13"/>
  <c r="H10" i="13"/>
  <c r="H25" i="13"/>
  <c r="H26" i="13"/>
  <c r="H23" i="13"/>
  <c r="H14" i="13"/>
  <c r="H16" i="13"/>
  <c r="H11" i="13"/>
  <c r="H7" i="13"/>
  <c r="I7" i="13"/>
  <c r="H6" i="13"/>
  <c r="I6" i="13"/>
  <c r="I4" i="13"/>
  <c r="H4" i="13"/>
  <c r="I3" i="13"/>
  <c r="H3" i="13"/>
  <c r="I23" i="13"/>
  <c r="I16" i="13"/>
  <c r="I11" i="13"/>
  <c r="J24" i="13"/>
  <c r="D24" i="13"/>
  <c r="J22" i="13"/>
  <c r="D22" i="13"/>
  <c r="J21" i="13"/>
  <c r="D21" i="13"/>
  <c r="J20" i="13"/>
  <c r="D20" i="13"/>
  <c r="J19" i="13"/>
  <c r="D19" i="13"/>
  <c r="J18" i="13"/>
  <c r="D18" i="13"/>
  <c r="J17" i="13"/>
  <c r="D17" i="13"/>
  <c r="J15" i="13"/>
  <c r="D15" i="13"/>
  <c r="J13" i="13"/>
  <c r="D13" i="13"/>
  <c r="J12" i="13"/>
  <c r="D12" i="13"/>
  <c r="J9" i="13"/>
  <c r="J8" i="13"/>
  <c r="D8" i="13"/>
  <c r="H17" i="13" l="1"/>
  <c r="J2" i="13"/>
  <c r="H18" i="13"/>
  <c r="H24" i="13"/>
  <c r="E24" i="13"/>
  <c r="K24" i="13"/>
  <c r="H21" i="13"/>
  <c r="E20" i="13"/>
  <c r="K20" i="13"/>
  <c r="H15" i="13"/>
  <c r="E15" i="13"/>
  <c r="K15" i="13"/>
  <c r="H13" i="13"/>
  <c r="E21" i="13"/>
  <c r="K21" i="13"/>
  <c r="D9" i="13"/>
  <c r="H9" i="13" s="1"/>
  <c r="K9" i="13"/>
  <c r="E9" i="13"/>
  <c r="H19" i="13"/>
  <c r="H8" i="13"/>
  <c r="E22" i="13"/>
  <c r="K22" i="13"/>
  <c r="H22" i="13"/>
  <c r="H20" i="13"/>
  <c r="E19" i="13"/>
  <c r="K19" i="13"/>
  <c r="E18" i="13"/>
  <c r="I18" i="13" s="1"/>
  <c r="K18" i="13"/>
  <c r="E17" i="13"/>
  <c r="K17" i="13"/>
  <c r="E13" i="13"/>
  <c r="K13" i="13"/>
  <c r="K12" i="13"/>
  <c r="E12" i="13"/>
  <c r="E8" i="13"/>
  <c r="K8" i="13"/>
  <c r="D5" i="13"/>
  <c r="J5" i="13"/>
  <c r="I24" i="13" l="1"/>
  <c r="I13" i="13"/>
  <c r="I21" i="13"/>
  <c r="I19" i="13"/>
  <c r="K2" i="13"/>
  <c r="I17" i="13"/>
  <c r="I15" i="13"/>
  <c r="I9" i="13"/>
  <c r="H5" i="13"/>
  <c r="H12" i="13"/>
  <c r="I8" i="13"/>
  <c r="D2" i="13"/>
  <c r="I22" i="13"/>
  <c r="I20" i="13"/>
  <c r="E5" i="13"/>
  <c r="K5" i="13"/>
  <c r="I5" i="13" l="1"/>
  <c r="I12" i="13"/>
  <c r="E2" i="13"/>
  <c r="H2" i="13"/>
  <c r="I2" i="13" l="1"/>
</calcChain>
</file>

<file path=xl/sharedStrings.xml><?xml version="1.0" encoding="utf-8"?>
<sst xmlns="http://schemas.openxmlformats.org/spreadsheetml/2006/main" count="3342" uniqueCount="341">
  <si>
    <t>210Pb</t>
  </si>
  <si>
    <t>±</t>
  </si>
  <si>
    <t>RGU</t>
  </si>
  <si>
    <t>Nucleide</t>
  </si>
  <si>
    <t>E kev</t>
  </si>
  <si>
    <t>Canaux</t>
  </si>
  <si>
    <t>%emis</t>
  </si>
  <si>
    <t>temps</t>
  </si>
  <si>
    <t>poids</t>
  </si>
  <si>
    <t>bdf</t>
  </si>
  <si>
    <t>eff</t>
  </si>
  <si>
    <t>bdfg</t>
  </si>
  <si>
    <t>pic1</t>
  </si>
  <si>
    <t>bdfd</t>
  </si>
  <si>
    <t>pic net</t>
  </si>
  <si>
    <t>cpm</t>
  </si>
  <si>
    <t>dpm/g</t>
  </si>
  <si>
    <t>Bq/k</t>
  </si>
  <si>
    <t>Data Certif</t>
  </si>
  <si>
    <t>RGU1</t>
  </si>
  <si>
    <t>214Bi</t>
  </si>
  <si>
    <t>Somme 226Ra</t>
  </si>
  <si>
    <t>IAEA447</t>
  </si>
  <si>
    <t>137Cs</t>
  </si>
  <si>
    <t xml:space="preserve">Rendement </t>
  </si>
  <si>
    <t>40K</t>
  </si>
  <si>
    <t>241Am</t>
  </si>
  <si>
    <t>N° Ech</t>
  </si>
  <si>
    <t>Profondeur</t>
  </si>
  <si>
    <t xml:space="preserve">A 210Pb </t>
  </si>
  <si>
    <t>Err 210Pb</t>
  </si>
  <si>
    <t>A. 226Ra</t>
  </si>
  <si>
    <t>Err 226 Ra</t>
  </si>
  <si>
    <t>PbExc</t>
  </si>
  <si>
    <t>err 137 Cs</t>
  </si>
  <si>
    <t>err 40K</t>
  </si>
  <si>
    <t>Err 241Am</t>
  </si>
  <si>
    <t>err Pb exc</t>
  </si>
  <si>
    <t xml:space="preserve">Tx sed </t>
  </si>
  <si>
    <t xml:space="preserve">Age </t>
  </si>
  <si>
    <t>epaisseur</t>
  </si>
  <si>
    <t>RGTh</t>
  </si>
  <si>
    <t>212Pb</t>
  </si>
  <si>
    <t>208Tl</t>
  </si>
  <si>
    <t>Somme 228Th</t>
  </si>
  <si>
    <t>228Ac</t>
  </si>
  <si>
    <t>Somme 228Ra</t>
  </si>
  <si>
    <t>NOM</t>
  </si>
  <si>
    <t>Date de dépouillement</t>
  </si>
  <si>
    <t xml:space="preserve">NOI_1  </t>
  </si>
  <si>
    <t xml:space="preserve">  82 138,000   </t>
  </si>
  <si>
    <t xml:space="preserve">Isotope </t>
  </si>
  <si>
    <t xml:space="preserve"> Energie(Kev) </t>
  </si>
  <si>
    <t xml:space="preserve"> Somme pic </t>
  </si>
  <si>
    <t xml:space="preserve"> Somme bkg gauche </t>
  </si>
  <si>
    <t>Somme bkg  droit</t>
  </si>
  <si>
    <t xml:space="preserve"> Somme-bkg</t>
  </si>
  <si>
    <t xml:space="preserve"> Sigma</t>
  </si>
  <si>
    <t xml:space="preserve">210Pb </t>
  </si>
  <si>
    <t xml:space="preserve"> 46.4991 </t>
  </si>
  <si>
    <t xml:space="preserve"> 2 728 </t>
  </si>
  <si>
    <t xml:space="preserve"> 2 502 </t>
  </si>
  <si>
    <t xml:space="preserve">241Am </t>
  </si>
  <si>
    <t xml:space="preserve"> 59.9337 </t>
  </si>
  <si>
    <t xml:space="preserve">214Pb </t>
  </si>
  <si>
    <t xml:space="preserve"> 295.178 </t>
  </si>
  <si>
    <t xml:space="preserve"> 1 470 </t>
  </si>
  <si>
    <t xml:space="preserve"> 1 413 </t>
  </si>
  <si>
    <t xml:space="preserve"> 351.881 </t>
  </si>
  <si>
    <t xml:space="preserve"> 2 438 </t>
  </si>
  <si>
    <t xml:space="preserve"> 2 373 </t>
  </si>
  <si>
    <t xml:space="preserve">214Bi </t>
  </si>
  <si>
    <t xml:space="preserve"> 609.176 </t>
  </si>
  <si>
    <t xml:space="preserve">137Cs </t>
  </si>
  <si>
    <t xml:space="preserve"> 661.617 </t>
  </si>
  <si>
    <t xml:space="preserve"> 2 579 </t>
  </si>
  <si>
    <t xml:space="preserve"> 2 537 </t>
  </si>
  <si>
    <t xml:space="preserve">40K </t>
  </si>
  <si>
    <t xml:space="preserve"> 1460.19 </t>
  </si>
  <si>
    <t xml:space="preserve"> 1 128 </t>
  </si>
  <si>
    <t xml:space="preserve"> 1 106 </t>
  </si>
  <si>
    <t xml:space="preserve"> 1121.17 </t>
  </si>
  <si>
    <t xml:space="preserve">228Ac </t>
  </si>
  <si>
    <t xml:space="preserve"> 1775.39 </t>
  </si>
  <si>
    <t xml:space="preserve">234Th </t>
  </si>
  <si>
    <t xml:space="preserve"> 63.3618 </t>
  </si>
  <si>
    <t xml:space="preserve"> 2 200 </t>
  </si>
  <si>
    <t xml:space="preserve"> 1 961 </t>
  </si>
  <si>
    <t xml:space="preserve">226Ra </t>
  </si>
  <si>
    <t xml:space="preserve"> 185.848 </t>
  </si>
  <si>
    <t xml:space="preserve"> 1 922 </t>
  </si>
  <si>
    <t xml:space="preserve"> 1 817 </t>
  </si>
  <si>
    <t xml:space="preserve">212Pb </t>
  </si>
  <si>
    <t xml:space="preserve"> 238.567 </t>
  </si>
  <si>
    <t xml:space="preserve"> 1 676 </t>
  </si>
  <si>
    <t xml:space="preserve"> 1 583 </t>
  </si>
  <si>
    <t xml:space="preserve">208Tl </t>
  </si>
  <si>
    <t xml:space="preserve"> 582.956 </t>
  </si>
  <si>
    <t xml:space="preserve"> 338.076 </t>
  </si>
  <si>
    <t xml:space="preserve"> 910.852 </t>
  </si>
  <si>
    <t xml:space="preserve"> 968.852 </t>
  </si>
  <si>
    <t xml:space="preserve">235U </t>
  </si>
  <si>
    <t xml:space="preserve"> 143.691 </t>
  </si>
  <si>
    <t xml:space="preserve">NOI_5  </t>
  </si>
  <si>
    <t xml:space="preserve">  85 125,000   </t>
  </si>
  <si>
    <t xml:space="preserve"> 4 220 </t>
  </si>
  <si>
    <t xml:space="preserve"> 3 949 </t>
  </si>
  <si>
    <t xml:space="preserve"> 59.7484 </t>
  </si>
  <si>
    <t xml:space="preserve"> 1 572 </t>
  </si>
  <si>
    <t xml:space="preserve"> 1 502 </t>
  </si>
  <si>
    <t xml:space="preserve"> 2 577 </t>
  </si>
  <si>
    <t xml:space="preserve"> 2 499 </t>
  </si>
  <si>
    <t xml:space="preserve"> 3 973 </t>
  </si>
  <si>
    <t xml:space="preserve"> 3 916 </t>
  </si>
  <si>
    <t xml:space="preserve"> 1 052 </t>
  </si>
  <si>
    <t xml:space="preserve"> 1 028 </t>
  </si>
  <si>
    <t xml:space="preserve"> 2 444 </t>
  </si>
  <si>
    <t xml:space="preserve"> 2 191 </t>
  </si>
  <si>
    <t xml:space="preserve"> 2 006 </t>
  </si>
  <si>
    <t xml:space="preserve"> 1 884 </t>
  </si>
  <si>
    <t xml:space="preserve"> 1 800 </t>
  </si>
  <si>
    <t xml:space="preserve"> 1 674 </t>
  </si>
  <si>
    <t xml:space="preserve">NOI_9  </t>
  </si>
  <si>
    <t xml:space="preserve">  84 841,000   </t>
  </si>
  <si>
    <t xml:space="preserve"> 1 156 </t>
  </si>
  <si>
    <t xml:space="preserve"> 60.4896 </t>
  </si>
  <si>
    <t xml:space="preserve"> 1 733 </t>
  </si>
  <si>
    <t xml:space="preserve"> 1 671 </t>
  </si>
  <si>
    <t xml:space="preserve"> 2 822 </t>
  </si>
  <si>
    <t xml:space="preserve"> 2 752 </t>
  </si>
  <si>
    <t xml:space="preserve"> 1 092 </t>
  </si>
  <si>
    <t xml:space="preserve"> 1 047 </t>
  </si>
  <si>
    <t xml:space="preserve"> 1 336 </t>
  </si>
  <si>
    <t xml:space="preserve"> 1 312 </t>
  </si>
  <si>
    <t xml:space="preserve"> 2 446 </t>
  </si>
  <si>
    <t xml:space="preserve"> 2 187 </t>
  </si>
  <si>
    <t xml:space="preserve"> 2 095 </t>
  </si>
  <si>
    <t xml:space="preserve"> 1 982 </t>
  </si>
  <si>
    <t xml:space="preserve"> 1 744 </t>
  </si>
  <si>
    <t xml:space="preserve"> 1 645 </t>
  </si>
  <si>
    <t xml:space="preserve">NOI_13  </t>
  </si>
  <si>
    <t xml:space="preserve">  83 133,000   </t>
  </si>
  <si>
    <t xml:space="preserve"> 1 689 </t>
  </si>
  <si>
    <t xml:space="preserve"> 1 640 </t>
  </si>
  <si>
    <t xml:space="preserve"> 2 719 </t>
  </si>
  <si>
    <t xml:space="preserve"> 2 661 </t>
  </si>
  <si>
    <t xml:space="preserve"> 1 363 </t>
  </si>
  <si>
    <t xml:space="preserve"> 1 341 </t>
  </si>
  <si>
    <t xml:space="preserve"> 2 406 </t>
  </si>
  <si>
    <t xml:space="preserve"> 2 158 </t>
  </si>
  <si>
    <t xml:space="preserve"> 2 054 </t>
  </si>
  <si>
    <t xml:space="preserve"> 1 963 </t>
  </si>
  <si>
    <t xml:space="preserve"> 1 741 </t>
  </si>
  <si>
    <t xml:space="preserve"> 1 646 </t>
  </si>
  <si>
    <t xml:space="preserve">NOI_3  </t>
  </si>
  <si>
    <t xml:space="preserve">  334 375,000   </t>
  </si>
  <si>
    <t xml:space="preserve"> 16 511 </t>
  </si>
  <si>
    <t xml:space="preserve"> 1 358</t>
  </si>
  <si>
    <t xml:space="preserve"> 1 080 </t>
  </si>
  <si>
    <t xml:space="preserve"> 15 413 </t>
  </si>
  <si>
    <t xml:space="preserve"> 1 263 </t>
  </si>
  <si>
    <t xml:space="preserve"> 6 424 </t>
  </si>
  <si>
    <t xml:space="preserve"> 6 128 </t>
  </si>
  <si>
    <t xml:space="preserve"> 10 519 </t>
  </si>
  <si>
    <t xml:space="preserve"> 10 225 </t>
  </si>
  <si>
    <t xml:space="preserve"> 3 640 </t>
  </si>
  <si>
    <t xml:space="preserve"> 3 450 </t>
  </si>
  <si>
    <t xml:space="preserve"> 16 605 </t>
  </si>
  <si>
    <t xml:space="preserve"> 16 380 </t>
  </si>
  <si>
    <t xml:space="preserve"> 4 394 </t>
  </si>
  <si>
    <t xml:space="preserve"> 4 304 </t>
  </si>
  <si>
    <t xml:space="preserve"> 10 063 </t>
  </si>
  <si>
    <t xml:space="preserve"> 1 121</t>
  </si>
  <si>
    <t xml:space="preserve"> 1 110 </t>
  </si>
  <si>
    <t xml:space="preserve"> 9 059 </t>
  </si>
  <si>
    <t xml:space="preserve"> 8 241 </t>
  </si>
  <si>
    <t xml:space="preserve"> 7 760 </t>
  </si>
  <si>
    <t xml:space="preserve"> 7 387 </t>
  </si>
  <si>
    <t xml:space="preserve"> 6 897 </t>
  </si>
  <si>
    <t xml:space="preserve"> 1 039 </t>
  </si>
  <si>
    <t xml:space="preserve"> 1 292 </t>
  </si>
  <si>
    <t xml:space="preserve"> 1 037 </t>
  </si>
  <si>
    <t xml:space="preserve"> 1 155 </t>
  </si>
  <si>
    <t xml:space="preserve"> 1 011 </t>
  </si>
  <si>
    <t xml:space="preserve"> 2 166 </t>
  </si>
  <si>
    <t xml:space="preserve"> 1 479 </t>
  </si>
  <si>
    <t xml:space="preserve">NOI_7  </t>
  </si>
  <si>
    <t xml:space="preserve">  81 447,000   </t>
  </si>
  <si>
    <t xml:space="preserve"> 2 202 </t>
  </si>
  <si>
    <t xml:space="preserve"> 1 999 </t>
  </si>
  <si>
    <t xml:space="preserve"> 59.5631 </t>
  </si>
  <si>
    <t xml:space="preserve"> 1 335 </t>
  </si>
  <si>
    <t xml:space="preserve"> 1 274 </t>
  </si>
  <si>
    <t xml:space="preserve"> 2 099 </t>
  </si>
  <si>
    <t xml:space="preserve"> 2 044 </t>
  </si>
  <si>
    <t xml:space="preserve"> 3 246 </t>
  </si>
  <si>
    <t xml:space="preserve"> 3 205 </t>
  </si>
  <si>
    <t xml:space="preserve"> 1 139 </t>
  </si>
  <si>
    <t xml:space="preserve"> 1 112 </t>
  </si>
  <si>
    <t xml:space="preserve"> 2 146 </t>
  </si>
  <si>
    <t xml:space="preserve"> 1 952 </t>
  </si>
  <si>
    <t xml:space="preserve"> 1 729 </t>
  </si>
  <si>
    <t xml:space="preserve"> 1 633 </t>
  </si>
  <si>
    <t xml:space="preserve"> 1 557 </t>
  </si>
  <si>
    <t xml:space="preserve"> 1 457 </t>
  </si>
  <si>
    <t xml:space="preserve">NOI_16  </t>
  </si>
  <si>
    <t xml:space="preserve">  171 268,000   </t>
  </si>
  <si>
    <t xml:space="preserve"> 1 852 </t>
  </si>
  <si>
    <t xml:space="preserve"> 1 410 </t>
  </si>
  <si>
    <t xml:space="preserve"> 3 638 </t>
  </si>
  <si>
    <t xml:space="preserve"> 3 521 </t>
  </si>
  <si>
    <t xml:space="preserve"> 5 992 </t>
  </si>
  <si>
    <t xml:space="preserve"> 5 878 </t>
  </si>
  <si>
    <t xml:space="preserve"> 2 092 </t>
  </si>
  <si>
    <t xml:space="preserve"> 1 994 </t>
  </si>
  <si>
    <t xml:space="preserve"> 3 066 </t>
  </si>
  <si>
    <t xml:space="preserve"> 3 014 </t>
  </si>
  <si>
    <t xml:space="preserve"> 5 448 </t>
  </si>
  <si>
    <t xml:space="preserve"> 4 934 </t>
  </si>
  <si>
    <t xml:space="preserve"> 4 665 </t>
  </si>
  <si>
    <t xml:space="preserve"> 4 459 </t>
  </si>
  <si>
    <t xml:space="preserve"> 4 001 </t>
  </si>
  <si>
    <t xml:space="preserve"> 3 778 </t>
  </si>
  <si>
    <t xml:space="preserve"> 1 119 </t>
  </si>
  <si>
    <t xml:space="preserve">NOI_11  </t>
  </si>
  <si>
    <t xml:space="preserve">  84 720,000   </t>
  </si>
  <si>
    <t xml:space="preserve"> 46.5007 </t>
  </si>
  <si>
    <t xml:space="preserve"> 59.6799 </t>
  </si>
  <si>
    <t xml:space="preserve"> 295.221 </t>
  </si>
  <si>
    <t xml:space="preserve"> 1 851 </t>
  </si>
  <si>
    <t xml:space="preserve"> 1 776 </t>
  </si>
  <si>
    <t xml:space="preserve"> 351.605 </t>
  </si>
  <si>
    <t xml:space="preserve"> 3 117 </t>
  </si>
  <si>
    <t xml:space="preserve"> 3 050 </t>
  </si>
  <si>
    <t xml:space="preserve"> 609.045 </t>
  </si>
  <si>
    <t xml:space="preserve"> 1 033 </t>
  </si>
  <si>
    <t xml:space="preserve"> 661.168 </t>
  </si>
  <si>
    <t xml:space="preserve"> 1459.85 </t>
  </si>
  <si>
    <t xml:space="preserve"> 1 420 </t>
  </si>
  <si>
    <t xml:space="preserve"> 1 393 </t>
  </si>
  <si>
    <t xml:space="preserve"> 1120.16 </t>
  </si>
  <si>
    <t xml:space="preserve"> 63.3463 </t>
  </si>
  <si>
    <t xml:space="preserve"> 2 605 </t>
  </si>
  <si>
    <t xml:space="preserve"> 2 352 </t>
  </si>
  <si>
    <t xml:space="preserve"> 186.022 </t>
  </si>
  <si>
    <t xml:space="preserve"> 238.442 </t>
  </si>
  <si>
    <t xml:space="preserve"> 1 860 </t>
  </si>
  <si>
    <t xml:space="preserve"> 1 724 </t>
  </si>
  <si>
    <t xml:space="preserve"> 583.182 </t>
  </si>
  <si>
    <t xml:space="preserve"> 338.128 </t>
  </si>
  <si>
    <t xml:space="preserve"> 911.077 </t>
  </si>
  <si>
    <t xml:space="preserve"> 968.451 </t>
  </si>
  <si>
    <t xml:space="preserve">Po214 </t>
  </si>
  <si>
    <t xml:space="preserve"> 510.647 </t>
  </si>
  <si>
    <t xml:space="preserve"> 1755.84 </t>
  </si>
  <si>
    <t xml:space="preserve">NOI_8  </t>
  </si>
  <si>
    <t xml:space="preserve">  80 594,000   </t>
  </si>
  <si>
    <t xml:space="preserve"> 1 649 </t>
  </si>
  <si>
    <t xml:space="preserve"> 1 441 </t>
  </si>
  <si>
    <t xml:space="preserve"> 1 561 </t>
  </si>
  <si>
    <t xml:space="preserve"> 1 499 </t>
  </si>
  <si>
    <t xml:space="preserve"> 2 566 </t>
  </si>
  <si>
    <t xml:space="preserve"> 2 503 </t>
  </si>
  <si>
    <t xml:space="preserve"> 1 975 </t>
  </si>
  <si>
    <t xml:space="preserve"> 1 926 </t>
  </si>
  <si>
    <t xml:space="preserve"> 1 175 </t>
  </si>
  <si>
    <t xml:space="preserve"> 1 149 </t>
  </si>
  <si>
    <t xml:space="preserve"> 2 371 </t>
  </si>
  <si>
    <t xml:space="preserve"> 2 162 </t>
  </si>
  <si>
    <t xml:space="preserve"> 1 950 </t>
  </si>
  <si>
    <t xml:space="preserve"> 1 834 </t>
  </si>
  <si>
    <t xml:space="preserve"> 1 598 </t>
  </si>
  <si>
    <t xml:space="preserve"> 1 500 </t>
  </si>
  <si>
    <t xml:space="preserve">NOI_2  </t>
  </si>
  <si>
    <t xml:space="preserve">  259 009,000   </t>
  </si>
  <si>
    <t xml:space="preserve"> 11 133 </t>
  </si>
  <si>
    <t xml:space="preserve"> 1 005</t>
  </si>
  <si>
    <t xml:space="preserve"> 10 349 </t>
  </si>
  <si>
    <t xml:space="preserve"> 4 673 </t>
  </si>
  <si>
    <t xml:space="preserve"> 4 469 </t>
  </si>
  <si>
    <t xml:space="preserve"> 7 668 </t>
  </si>
  <si>
    <t xml:space="preserve"> 7 447 </t>
  </si>
  <si>
    <t xml:space="preserve"> 2 665 </t>
  </si>
  <si>
    <t xml:space="preserve"> 2 510 </t>
  </si>
  <si>
    <t xml:space="preserve"> 10 456 </t>
  </si>
  <si>
    <t xml:space="preserve"> 10 294 </t>
  </si>
  <si>
    <t xml:space="preserve"> 3 242 </t>
  </si>
  <si>
    <t xml:space="preserve"> 3 175 </t>
  </si>
  <si>
    <t xml:space="preserve"> 7 196 </t>
  </si>
  <si>
    <t xml:space="preserve"> 6 458 </t>
  </si>
  <si>
    <t xml:space="preserve"> 5 936 </t>
  </si>
  <si>
    <t xml:space="preserve"> 5 619 </t>
  </si>
  <si>
    <t xml:space="preserve"> 5 260 </t>
  </si>
  <si>
    <t xml:space="preserve"> 4 946 </t>
  </si>
  <si>
    <t xml:space="preserve"> 1 488 </t>
  </si>
  <si>
    <t xml:space="preserve">NOI_4  </t>
  </si>
  <si>
    <t xml:space="preserve">  79 498,000   </t>
  </si>
  <si>
    <t xml:space="preserve"> 4 202 </t>
  </si>
  <si>
    <t xml:space="preserve"> 3 940 </t>
  </si>
  <si>
    <t xml:space="preserve"> 1 466 </t>
  </si>
  <si>
    <t xml:space="preserve"> 1 397 </t>
  </si>
  <si>
    <t xml:space="preserve"> 2 570 </t>
  </si>
  <si>
    <t xml:space="preserve"> 2 495 </t>
  </si>
  <si>
    <t xml:space="preserve"> 3 933 </t>
  </si>
  <si>
    <t xml:space="preserve"> 3 881 </t>
  </si>
  <si>
    <t xml:space="preserve"> 1 025 </t>
  </si>
  <si>
    <t xml:space="preserve"> 2 546 </t>
  </si>
  <si>
    <t xml:space="preserve"> 2 294 </t>
  </si>
  <si>
    <t xml:space="preserve"> 1 978 </t>
  </si>
  <si>
    <t xml:space="preserve"> 1 850 </t>
  </si>
  <si>
    <t xml:space="preserve"> 1 612 </t>
  </si>
  <si>
    <t xml:space="preserve">NOI_6  </t>
  </si>
  <si>
    <t xml:space="preserve">  83 657,000   </t>
  </si>
  <si>
    <t xml:space="preserve"> 3 467 </t>
  </si>
  <si>
    <t xml:space="preserve"> 3 233 </t>
  </si>
  <si>
    <t xml:space="preserve"> 1 418 </t>
  </si>
  <si>
    <t xml:space="preserve"> 1 350 </t>
  </si>
  <si>
    <t xml:space="preserve"> 2 369 </t>
  </si>
  <si>
    <t xml:space="preserve"> 2 293 </t>
  </si>
  <si>
    <t xml:space="preserve"> 3 764 </t>
  </si>
  <si>
    <t xml:space="preserve"> 3 712 </t>
  </si>
  <si>
    <t xml:space="preserve"> 1 074 </t>
  </si>
  <si>
    <t xml:space="preserve"> 1 045 </t>
  </si>
  <si>
    <t xml:space="preserve"> 2 376 </t>
  </si>
  <si>
    <t xml:space="preserve"> 2 150 </t>
  </si>
  <si>
    <t xml:space="preserve"> 1 947 </t>
  </si>
  <si>
    <t xml:space="preserve"> 1 590 </t>
  </si>
  <si>
    <t xml:space="preserve"> 1 482 </t>
  </si>
  <si>
    <t xml:space="preserve">NOI_10  </t>
  </si>
  <si>
    <t xml:space="preserve">  80 535,000   </t>
  </si>
  <si>
    <t xml:space="preserve"> 1 603 </t>
  </si>
  <si>
    <t xml:space="preserve"> 1 548 </t>
  </si>
  <si>
    <t xml:space="preserve"> 2 714 </t>
  </si>
  <si>
    <t xml:space="preserve"> 2 656 </t>
  </si>
  <si>
    <t xml:space="preserve"> 1 291 </t>
  </si>
  <si>
    <t xml:space="preserve"> 1 269 </t>
  </si>
  <si>
    <t xml:space="preserve"> 2 292 </t>
  </si>
  <si>
    <t xml:space="preserve"> 2 084 </t>
  </si>
  <si>
    <t xml:space="preserve"> 1 969 </t>
  </si>
  <si>
    <t xml:space="preserve"> 1 879 </t>
  </si>
  <si>
    <t xml:space="preserve"> 1 678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</si>
</sst>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E+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Arial"/>
      <family val="2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6" fillId="7" borderId="0" applyNumberFormat="0" applyBorder="0" applyAlignment="0" applyProtection="0"/>
    <xf numFmtId="0" fontId="7" fillId="8" borderId="12" applyNumberFormat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/>
    <xf numFmtId="0" fontId="3" fillId="0" borderId="10" xfId="0" applyFont="1" applyBorder="1"/>
    <xf numFmtId="0" fontId="4" fillId="0" borderId="11" xfId="0" applyFont="1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8" fillId="0" borderId="0" xfId="0" applyFont="1"/>
    <xf numFmtId="0" fontId="6" fillId="7" borderId="0" xfId="1"/>
    <xf numFmtId="0" fontId="9" fillId="8" borderId="12" xfId="2" applyFont="1"/>
    <xf numFmtId="0" fontId="5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0" fontId="10" fillId="0" borderId="0" xfId="0" applyFont="1"/>
    <xf numFmtId="14" fontId="0" fillId="0" borderId="0" xfId="0" applyNumberFormat="1"/>
    <xf numFmtId="14" fontId="0" fillId="0" borderId="0" xfId="0" applyNumberFormat="1" applyFill="1"/>
  </cellXfs>
  <cellStyles count="3">
    <cellStyle name="Entrée" xfId="2" builtinId="20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SYNTHESE!$H$1</c:f>
              <c:strCache>
                <c:ptCount val="1"/>
                <c:pt idx="0">
                  <c:v>PbExc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376209672355549"/>
                  <c:y val="8.51143607049118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SYNTHESE!$I$2:$I$26</c:f>
                <c:numCache>
                  <c:formatCode>General</c:formatCode>
                  <c:ptCount val="25"/>
                  <c:pt idx="0">
                    <c:v>27.147240765391253</c:v>
                  </c:pt>
                  <c:pt idx="1">
                    <c:v>18.380686165609358</c:v>
                  </c:pt>
                  <c:pt idx="2">
                    <c:v>16.105227693828656</c:v>
                  </c:pt>
                  <c:pt idx="3">
                    <c:v>34.385748956703502</c:v>
                  </c:pt>
                  <c:pt idx="4">
                    <c:v>33.07959088599457</c:v>
                  </c:pt>
                  <c:pt idx="5">
                    <c:v>32.000566116493268</c:v>
                  </c:pt>
                  <c:pt idx="6">
                    <c:v>26.822299240089496</c:v>
                  </c:pt>
                  <c:pt idx="7">
                    <c:v>21.139891888196296</c:v>
                  </c:pt>
                  <c:pt idx="8">
                    <c:v>16.649144649433602</c:v>
                  </c:pt>
                  <c:pt idx="9">
                    <c:v>16.000199709191246</c:v>
                  </c:pt>
                  <c:pt idx="10">
                    <c:v>14.469452229463251</c:v>
                  </c:pt>
                  <c:pt idx="11">
                    <c:v>0</c:v>
                  </c:pt>
                  <c:pt idx="12">
                    <c:v>14.879218924354747</c:v>
                  </c:pt>
                  <c:pt idx="13">
                    <c:v>0</c:v>
                  </c:pt>
                  <c:pt idx="14">
                    <c:v>0</c:v>
                  </c:pt>
                  <c:pt idx="15">
                    <c:v>9.5908606196100852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plus>
            <c:minus>
              <c:numRef>
                <c:f>SYNTHESE!$I$2:$I$26</c:f>
                <c:numCache>
                  <c:formatCode>General</c:formatCode>
                  <c:ptCount val="25"/>
                  <c:pt idx="0">
                    <c:v>27.147240765391253</c:v>
                  </c:pt>
                  <c:pt idx="1">
                    <c:v>18.380686165609358</c:v>
                  </c:pt>
                  <c:pt idx="2">
                    <c:v>16.105227693828656</c:v>
                  </c:pt>
                  <c:pt idx="3">
                    <c:v>34.385748956703502</c:v>
                  </c:pt>
                  <c:pt idx="4">
                    <c:v>33.07959088599457</c:v>
                  </c:pt>
                  <c:pt idx="5">
                    <c:v>32.000566116493268</c:v>
                  </c:pt>
                  <c:pt idx="6">
                    <c:v>26.822299240089496</c:v>
                  </c:pt>
                  <c:pt idx="7">
                    <c:v>21.139891888196296</c:v>
                  </c:pt>
                  <c:pt idx="8">
                    <c:v>16.649144649433602</c:v>
                  </c:pt>
                  <c:pt idx="9">
                    <c:v>16.000199709191246</c:v>
                  </c:pt>
                  <c:pt idx="10">
                    <c:v>14.469452229463251</c:v>
                  </c:pt>
                  <c:pt idx="11">
                    <c:v>0</c:v>
                  </c:pt>
                  <c:pt idx="12">
                    <c:v>14.879218924354747</c:v>
                  </c:pt>
                  <c:pt idx="13">
                    <c:v>0</c:v>
                  </c:pt>
                  <c:pt idx="14">
                    <c:v>0</c:v>
                  </c:pt>
                  <c:pt idx="15">
                    <c:v>9.5908606196100852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plus>
            <c:min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SYNTHESE!$B$2:$B$26</c:f>
              <c:numCache>
                <c:formatCode>General</c:formatCode>
                <c:ptCount val="2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xVal>
          <c:yVal>
            <c:numRef>
              <c:f>SYNTHESE!$H$2:$H$26</c:f>
              <c:numCache>
                <c:formatCode>General</c:formatCode>
                <c:ptCount val="25"/>
                <c:pt idx="0">
                  <c:v>1042.1575288415329</c:v>
                </c:pt>
                <c:pt idx="1">
                  <c:v>1519.6573190041445</c:v>
                </c:pt>
                <c:pt idx="2">
                  <c:v>1649.5910307973397</c:v>
                </c:pt>
                <c:pt idx="3">
                  <c:v>1806.4407637664817</c:v>
                </c:pt>
                <c:pt idx="4">
                  <c:v>1728.6899152146798</c:v>
                </c:pt>
                <c:pt idx="5">
                  <c:v>1488.2860688205003</c:v>
                </c:pt>
                <c:pt idx="6">
                  <c:v>896.361683470363</c:v>
                </c:pt>
                <c:pt idx="7">
                  <c:v>495.88732763357433</c:v>
                </c:pt>
                <c:pt idx="8">
                  <c:v>215.1870399809068</c:v>
                </c:pt>
                <c:pt idx="9">
                  <c:v>151.45530786890279</c:v>
                </c:pt>
                <c:pt idx="10">
                  <c:v>82.822895854571613</c:v>
                </c:pt>
                <c:pt idx="11">
                  <c:v>0</c:v>
                </c:pt>
                <c:pt idx="12">
                  <c:v>101.91614416235757</c:v>
                </c:pt>
                <c:pt idx="13">
                  <c:v>0</c:v>
                </c:pt>
                <c:pt idx="14">
                  <c:v>0</c:v>
                </c:pt>
                <c:pt idx="15">
                  <c:v>85.805983447221877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5-469B-9D32-15DBD6CA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86047"/>
        <c:axId val="2077487295"/>
      </c:scatterChart>
      <c:valAx>
        <c:axId val="207748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487295"/>
        <c:crosses val="autoZero"/>
        <c:crossBetween val="midCat"/>
      </c:valAx>
      <c:valAx>
        <c:axId val="2077487295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48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tx>
            <c:strRef>
              <c:f>SYNTHESE!$L$1</c:f>
              <c:strCache>
                <c:ptCount val="1"/>
                <c:pt idx="0">
                  <c:v>137Cs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SYNTHESE!$M$2:$M$26</c:f>
                <c:numCache>
                  <c:formatCode>General</c:formatCode>
                  <c:ptCount val="25"/>
                  <c:pt idx="0">
                    <c:v>2.1951299123430932</c:v>
                  </c:pt>
                  <c:pt idx="1">
                    <c:v>1.4919330745755945</c:v>
                  </c:pt>
                  <c:pt idx="2">
                    <c:v>1.3546108073187328</c:v>
                  </c:pt>
                  <c:pt idx="3">
                    <c:v>2.7964003740429235</c:v>
                  </c:pt>
                  <c:pt idx="4">
                    <c:v>2.696758213613911</c:v>
                  </c:pt>
                  <c:pt idx="5">
                    <c:v>2.7946983895902879</c:v>
                  </c:pt>
                  <c:pt idx="6">
                    <c:v>2.6891870569947542</c:v>
                  </c:pt>
                  <c:pt idx="7">
                    <c:v>1.8842512420391446</c:v>
                  </c:pt>
                  <c:pt idx="8">
                    <c:v>1.2881124338986083</c:v>
                  </c:pt>
                  <c:pt idx="9">
                    <c:v>1.0499901865022545</c:v>
                  </c:pt>
                  <c:pt idx="10">
                    <c:v>1.088186466609776</c:v>
                  </c:pt>
                  <c:pt idx="11">
                    <c:v>0</c:v>
                  </c:pt>
                  <c:pt idx="12">
                    <c:v>0.74849406413618191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0.41975223995085559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plus>
            <c:minus>
              <c:numRef>
                <c:f>SYNTHESE!$M$2:$M$26</c:f>
                <c:numCache>
                  <c:formatCode>General</c:formatCode>
                  <c:ptCount val="25"/>
                  <c:pt idx="0">
                    <c:v>2.1951299123430932</c:v>
                  </c:pt>
                  <c:pt idx="1">
                    <c:v>1.4919330745755945</c:v>
                  </c:pt>
                  <c:pt idx="2">
                    <c:v>1.3546108073187328</c:v>
                  </c:pt>
                  <c:pt idx="3">
                    <c:v>2.7964003740429235</c:v>
                  </c:pt>
                  <c:pt idx="4">
                    <c:v>2.696758213613911</c:v>
                  </c:pt>
                  <c:pt idx="5">
                    <c:v>2.7946983895902879</c:v>
                  </c:pt>
                  <c:pt idx="6">
                    <c:v>2.6891870569947542</c:v>
                  </c:pt>
                  <c:pt idx="7">
                    <c:v>1.8842512420391446</c:v>
                  </c:pt>
                  <c:pt idx="8">
                    <c:v>1.2881124338986083</c:v>
                  </c:pt>
                  <c:pt idx="9">
                    <c:v>1.0499901865022545</c:v>
                  </c:pt>
                  <c:pt idx="10">
                    <c:v>1.088186466609776</c:v>
                  </c:pt>
                  <c:pt idx="11">
                    <c:v>0</c:v>
                  </c:pt>
                  <c:pt idx="12">
                    <c:v>0.74849406413618191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0.41975223995085559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plus>
            <c:min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SYNTHESE!$B$2:$B$26</c:f>
              <c:numCache>
                <c:formatCode>General</c:formatCode>
                <c:ptCount val="2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xVal>
          <c:yVal>
            <c:numRef>
              <c:f>SYNTHESE!$L$2:$L$26</c:f>
              <c:numCache>
                <c:formatCode>General</c:formatCode>
                <c:ptCount val="25"/>
                <c:pt idx="0">
                  <c:v>108.65233053955689</c:v>
                </c:pt>
                <c:pt idx="1">
                  <c:v>148.87129153225581</c:v>
                </c:pt>
                <c:pt idx="2">
                  <c:v>170.84159119880067</c:v>
                </c:pt>
                <c:pt idx="3">
                  <c:v>171.75634880393571</c:v>
                </c:pt>
                <c:pt idx="4">
                  <c:v>166.16430945204422</c:v>
                </c:pt>
                <c:pt idx="5">
                  <c:v>167.79958880805748</c:v>
                </c:pt>
                <c:pt idx="6">
                  <c:v>150.2265928639595</c:v>
                </c:pt>
                <c:pt idx="7">
                  <c:v>80.542324120597542</c:v>
                </c:pt>
                <c:pt idx="8">
                  <c:v>39.912716938906492</c:v>
                </c:pt>
                <c:pt idx="9">
                  <c:v>22.969396669172237</c:v>
                </c:pt>
                <c:pt idx="10">
                  <c:v>20.49093959701451</c:v>
                </c:pt>
                <c:pt idx="11">
                  <c:v>0</c:v>
                </c:pt>
                <c:pt idx="12">
                  <c:v>10.391904897510631</c:v>
                </c:pt>
                <c:pt idx="13">
                  <c:v>0</c:v>
                </c:pt>
                <c:pt idx="14">
                  <c:v>0</c:v>
                </c:pt>
                <c:pt idx="15">
                  <c:v>6.9565834762393424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DA-48A6-8D93-57FDFD8FA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86047"/>
        <c:axId val="2077487295"/>
      </c:scatterChart>
      <c:scatterChart>
        <c:scatterStyle val="lineMarker"/>
        <c:varyColors val="0"/>
        <c:ser>
          <c:idx val="1"/>
          <c:order val="0"/>
          <c:tx>
            <c:strRef>
              <c:f>SYNTHESE!$J$1</c:f>
              <c:strCache>
                <c:ptCount val="1"/>
                <c:pt idx="0">
                  <c:v>241Am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SYNTHESE!$K$2:$K$26</c:f>
                <c:numCache>
                  <c:formatCode>General</c:formatCode>
                  <c:ptCount val="25"/>
                  <c:pt idx="0">
                    <c:v>0.83892576975792332</c:v>
                  </c:pt>
                  <c:pt idx="1">
                    <c:v>0.52048849787924678</c:v>
                  </c:pt>
                  <c:pt idx="2">
                    <c:v>0.453540112586996</c:v>
                  </c:pt>
                  <c:pt idx="3">
                    <c:v>0.93078410209001217</c:v>
                  </c:pt>
                  <c:pt idx="4">
                    <c:v>0.94048371229081074</c:v>
                  </c:pt>
                  <c:pt idx="5">
                    <c:v>0.97650787696705454</c:v>
                  </c:pt>
                  <c:pt idx="6">
                    <c:v>0.936075866260072</c:v>
                  </c:pt>
                  <c:pt idx="7">
                    <c:v>0.82992103959467955</c:v>
                  </c:pt>
                  <c:pt idx="8">
                    <c:v>0.75553697843838785</c:v>
                  </c:pt>
                  <c:pt idx="9">
                    <c:v>0.75238797914944844</c:v>
                  </c:pt>
                  <c:pt idx="10">
                    <c:v>0.73561047937456969</c:v>
                  </c:pt>
                  <c:pt idx="11">
                    <c:v>0</c:v>
                  </c:pt>
                  <c:pt idx="12">
                    <c:v>0.72263974896841765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0.48600834985767161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plus>
            <c:minus>
              <c:numRef>
                <c:f>SYNTHESE!$K$2:$K$26</c:f>
                <c:numCache>
                  <c:formatCode>General</c:formatCode>
                  <c:ptCount val="25"/>
                  <c:pt idx="0">
                    <c:v>0.83892576975792332</c:v>
                  </c:pt>
                  <c:pt idx="1">
                    <c:v>0.52048849787924678</c:v>
                  </c:pt>
                  <c:pt idx="2">
                    <c:v>0.453540112586996</c:v>
                  </c:pt>
                  <c:pt idx="3">
                    <c:v>0.93078410209001217</c:v>
                  </c:pt>
                  <c:pt idx="4">
                    <c:v>0.94048371229081074</c:v>
                  </c:pt>
                  <c:pt idx="5">
                    <c:v>0.97650787696705454</c:v>
                  </c:pt>
                  <c:pt idx="6">
                    <c:v>0.936075866260072</c:v>
                  </c:pt>
                  <c:pt idx="7">
                    <c:v>0.82992103959467955</c:v>
                  </c:pt>
                  <c:pt idx="8">
                    <c:v>0.75553697843838785</c:v>
                  </c:pt>
                  <c:pt idx="9">
                    <c:v>0.75238797914944844</c:v>
                  </c:pt>
                  <c:pt idx="10">
                    <c:v>0.73561047937456969</c:v>
                  </c:pt>
                  <c:pt idx="11">
                    <c:v>0</c:v>
                  </c:pt>
                  <c:pt idx="12">
                    <c:v>0.72263974896841765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0.48600834985767161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plus>
            <c:minus>
              <c:numRef>
                <c:f>SYNTHESE!$C$2:$C$26</c:f>
                <c:numCache>
                  <c:formatCode>General</c:formatCode>
                  <c:ptCount val="2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  <c:pt idx="15">
                    <c:v>0.5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SYNTHESE!$B$2:$B$26</c:f>
              <c:numCache>
                <c:formatCode>General</c:formatCode>
                <c:ptCount val="2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xVal>
          <c:yVal>
            <c:numRef>
              <c:f>SYNTHESE!$J$2:$J$26</c:f>
              <c:numCache>
                <c:formatCode>General</c:formatCode>
                <c:ptCount val="25"/>
                <c:pt idx="0">
                  <c:v>2.5041469079974799</c:v>
                </c:pt>
                <c:pt idx="1">
                  <c:v>3.561129815429859</c:v>
                </c:pt>
                <c:pt idx="2">
                  <c:v>4.3035276035598296</c:v>
                </c:pt>
                <c:pt idx="3">
                  <c:v>4.1438959235086452</c:v>
                </c:pt>
                <c:pt idx="4">
                  <c:v>2.6020235271336594</c:v>
                </c:pt>
                <c:pt idx="5">
                  <c:v>2.1268937098918874</c:v>
                </c:pt>
                <c:pt idx="6">
                  <c:v>3.586258370304761</c:v>
                </c:pt>
                <c:pt idx="7">
                  <c:v>0.8947984293543515</c:v>
                </c:pt>
                <c:pt idx="8">
                  <c:v>1.7408129052263375</c:v>
                </c:pt>
                <c:pt idx="9">
                  <c:v>2.0384317773575895</c:v>
                </c:pt>
                <c:pt idx="10">
                  <c:v>0.79026873172293366</c:v>
                </c:pt>
                <c:pt idx="11">
                  <c:v>0</c:v>
                </c:pt>
                <c:pt idx="12">
                  <c:v>1.0382318269376398</c:v>
                </c:pt>
                <c:pt idx="13">
                  <c:v>0</c:v>
                </c:pt>
                <c:pt idx="14">
                  <c:v>0</c:v>
                </c:pt>
                <c:pt idx="15">
                  <c:v>0.38497597878217721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DA-48A6-8D93-57FDFD8FA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138735"/>
        <c:axId val="246139151"/>
      </c:scatterChart>
      <c:valAx>
        <c:axId val="207748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487295"/>
        <c:crosses val="autoZero"/>
        <c:crossBetween val="midCat"/>
      </c:valAx>
      <c:valAx>
        <c:axId val="2077487295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7486047"/>
        <c:crosses val="autoZero"/>
        <c:crossBetween val="midCat"/>
      </c:valAx>
      <c:valAx>
        <c:axId val="246139151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6138735"/>
        <c:crosses val="max"/>
        <c:crossBetween val="midCat"/>
      </c:valAx>
      <c:valAx>
        <c:axId val="2461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613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85666</xdr:rowOff>
    </xdr:from>
    <xdr:to>
      <xdr:col>8</xdr:col>
      <xdr:colOff>242455</xdr:colOff>
      <xdr:row>56</xdr:row>
      <xdr:rowOff>69274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278035</xdr:colOff>
      <xdr:row>31</xdr:row>
      <xdr:rowOff>142257</xdr:rowOff>
    </xdr:from>
    <xdr:to>
      <xdr:col>16</xdr:col>
      <xdr:colOff>155864</xdr:colOff>
      <xdr:row>56</xdr:row>
      <xdr:rowOff>69273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zoomScale="90" zoomScaleNormal="90"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82138/60</f>
        <v>1368.9666666666667</v>
      </c>
      <c r="H2" s="20">
        <f>2.96-1.81</f>
        <v>1.1499999999999999</v>
      </c>
      <c r="I2" s="20">
        <v>0</v>
      </c>
      <c r="J2" s="20">
        <v>2.1399999999999999E-2</v>
      </c>
      <c r="K2" s="20">
        <v>2728</v>
      </c>
      <c r="L2" s="20">
        <v>242</v>
      </c>
      <c r="M2" s="20">
        <v>260</v>
      </c>
      <c r="N2" s="20">
        <f t="shared" ref="N2:N13" si="0">K2-(L2+M2)/2</f>
        <v>2477</v>
      </c>
      <c r="O2" s="20" t="s">
        <v>1</v>
      </c>
      <c r="P2" s="20">
        <f t="shared" ref="P2:P16" si="1">SQRT((K2+(L2+M2)/2))</f>
        <v>54.580216195980753</v>
      </c>
      <c r="Q2" s="20">
        <f t="shared" ref="Q2:Q16" si="2">N2/G2</f>
        <v>1.8093939467725049</v>
      </c>
      <c r="R2" s="20">
        <f>(Q2/H2/J2)</f>
        <v>73.522712180922596</v>
      </c>
      <c r="S2" s="20" t="s">
        <v>1</v>
      </c>
      <c r="T2" s="20">
        <f>P2/N2*R2</f>
        <v>1.6200587509687618</v>
      </c>
      <c r="U2" s="20">
        <f>R2/60*1000</f>
        <v>1225.37853634871</v>
      </c>
      <c r="V2" s="20" t="s">
        <v>1</v>
      </c>
      <c r="W2" s="20">
        <f>T2/R2*U2</f>
        <v>27.000979182812699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1368.9666666666667</v>
      </c>
      <c r="H3" s="21">
        <f>H2</f>
        <v>1.1499999999999999</v>
      </c>
      <c r="I3" s="21">
        <v>0</v>
      </c>
      <c r="J3" s="21">
        <v>0.26</v>
      </c>
      <c r="K3" s="21">
        <v>243</v>
      </c>
      <c r="L3" s="21">
        <v>181</v>
      </c>
      <c r="M3" s="21">
        <v>182</v>
      </c>
      <c r="N3" s="21">
        <f t="shared" si="0"/>
        <v>61.5</v>
      </c>
      <c r="O3" s="21" t="s">
        <v>1</v>
      </c>
      <c r="P3" s="21">
        <f t="shared" si="1"/>
        <v>20.603397778036516</v>
      </c>
      <c r="Q3" s="21">
        <f t="shared" si="2"/>
        <v>4.4924395529474782E-2</v>
      </c>
      <c r="R3" s="21">
        <f>Q3/H3/J3</f>
        <v>0.15024881447984878</v>
      </c>
      <c r="S3" s="21" t="s">
        <v>1</v>
      </c>
      <c r="T3" s="21">
        <f>P3/N3*R3</f>
        <v>5.0335546185475394E-2</v>
      </c>
      <c r="U3" s="21">
        <f>R3/60*1000</f>
        <v>2.5041469079974799</v>
      </c>
      <c r="V3" s="21" t="s">
        <v>1</v>
      </c>
      <c r="W3" s="21">
        <f>T3/R3*U3</f>
        <v>0.83892576975792332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1368.9666666666667</v>
      </c>
      <c r="H4" s="19">
        <f>H2</f>
        <v>1.1499999999999999</v>
      </c>
      <c r="I4" s="19"/>
      <c r="J4" s="19">
        <v>8.1000000000000003E-2</v>
      </c>
      <c r="K4" s="19">
        <v>1470</v>
      </c>
      <c r="L4" s="19">
        <v>66</v>
      </c>
      <c r="M4" s="19">
        <v>57</v>
      </c>
      <c r="N4" s="19">
        <f t="shared" si="0"/>
        <v>1408.5</v>
      </c>
      <c r="O4" s="19" t="s">
        <v>1</v>
      </c>
      <c r="P4" s="19">
        <f t="shared" si="1"/>
        <v>39.134383858698989</v>
      </c>
      <c r="Q4" s="19">
        <f t="shared" si="2"/>
        <v>1.0288782293213858</v>
      </c>
      <c r="R4" s="19">
        <f>(Q4/H4/J4)</f>
        <v>11.045391619123841</v>
      </c>
      <c r="S4" s="19" t="s">
        <v>1</v>
      </c>
      <c r="T4" s="19">
        <f t="shared" ref="T4:T6" si="3">P4/N4*R4</f>
        <v>0.30689002164888113</v>
      </c>
      <c r="U4" s="19">
        <f t="shared" ref="U4:U6" si="4">R4/60*1000</f>
        <v>184.08986031873067</v>
      </c>
      <c r="V4" s="19" t="s">
        <v>1</v>
      </c>
      <c r="W4" s="19">
        <f t="shared" ref="W4:W6" si="5">T4/R4*U4</f>
        <v>5.1148336941480181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1368.9666666666667</v>
      </c>
      <c r="H5" s="19">
        <f>H2</f>
        <v>1.1499999999999999</v>
      </c>
      <c r="I5" s="19">
        <v>2E-3</v>
      </c>
      <c r="J5" s="19">
        <v>0.13700000000000001</v>
      </c>
      <c r="K5" s="19">
        <v>2438</v>
      </c>
      <c r="L5" s="19">
        <v>78</v>
      </c>
      <c r="M5" s="19">
        <v>66</v>
      </c>
      <c r="N5" s="19">
        <f t="shared" si="0"/>
        <v>2366</v>
      </c>
      <c r="O5" s="19" t="s">
        <v>1</v>
      </c>
      <c r="P5" s="19">
        <f t="shared" si="1"/>
        <v>50.099900199501398</v>
      </c>
      <c r="Q5" s="19">
        <f t="shared" si="2"/>
        <v>1.7283108914266234</v>
      </c>
      <c r="R5" s="19">
        <f>(Q5/H5/J5)</f>
        <v>10.969919970971905</v>
      </c>
      <c r="S5" s="19" t="s">
        <v>1</v>
      </c>
      <c r="T5" s="19">
        <f t="shared" si="3"/>
        <v>0.23228736083778939</v>
      </c>
      <c r="U5" s="19">
        <f t="shared" si="4"/>
        <v>182.83199951619841</v>
      </c>
      <c r="V5" s="19" t="s">
        <v>1</v>
      </c>
      <c r="W5" s="19">
        <f t="shared" si="5"/>
        <v>3.8714560139631562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1368.9666666666667</v>
      </c>
      <c r="H6" s="19">
        <f>H2</f>
        <v>1.1499999999999999</v>
      </c>
      <c r="I6" s="19">
        <v>2E-3</v>
      </c>
      <c r="J6" s="19">
        <v>4.5999999999999999E-2</v>
      </c>
      <c r="K6" s="19">
        <v>839</v>
      </c>
      <c r="L6" s="19">
        <v>47</v>
      </c>
      <c r="M6" s="19">
        <v>42</v>
      </c>
      <c r="N6" s="19">
        <f t="shared" si="0"/>
        <v>794.5</v>
      </c>
      <c r="O6" s="19" t="s">
        <v>1</v>
      </c>
      <c r="P6" s="19">
        <f t="shared" si="1"/>
        <v>29.723727895403698</v>
      </c>
      <c r="Q6" s="19">
        <f t="shared" si="2"/>
        <v>0.58036475200272708</v>
      </c>
      <c r="R6" s="19">
        <f>(Q6/H6/J6)</f>
        <v>10.970978298728301</v>
      </c>
      <c r="S6" s="19" t="s">
        <v>1</v>
      </c>
      <c r="T6" s="19">
        <f t="shared" si="3"/>
        <v>0.41044477495000503</v>
      </c>
      <c r="U6" s="19">
        <f t="shared" si="4"/>
        <v>182.84963831213835</v>
      </c>
      <c r="V6" s="19" t="s">
        <v>1</v>
      </c>
      <c r="W6" s="19">
        <f t="shared" si="5"/>
        <v>6.8407462491667506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1368.9666666666667</v>
      </c>
      <c r="H7" s="23">
        <f>H2</f>
        <v>1.1499999999999999</v>
      </c>
      <c r="I7" s="23">
        <v>1E-3</v>
      </c>
      <c r="J7" s="23">
        <v>0.247</v>
      </c>
      <c r="K7" s="23">
        <v>2579</v>
      </c>
      <c r="L7" s="23">
        <v>55</v>
      </c>
      <c r="M7" s="23">
        <v>33</v>
      </c>
      <c r="N7" s="23">
        <f t="shared" si="0"/>
        <v>2535</v>
      </c>
      <c r="O7" s="23" t="s">
        <v>1</v>
      </c>
      <c r="P7" s="23">
        <f t="shared" si="1"/>
        <v>51.215232109207513</v>
      </c>
      <c r="Q7" s="23">
        <f t="shared" si="2"/>
        <v>1.851761669385668</v>
      </c>
      <c r="R7" s="23">
        <f>Q7/H7/J7</f>
        <v>6.5191398323734138</v>
      </c>
      <c r="S7" s="23" t="s">
        <v>1</v>
      </c>
      <c r="T7" s="23">
        <f>P7/N7*R7</f>
        <v>0.13170779474058561</v>
      </c>
      <c r="U7" s="23">
        <f>R7/60*1000</f>
        <v>108.65233053955689</v>
      </c>
      <c r="V7" s="23" t="s">
        <v>1</v>
      </c>
      <c r="W7" s="23">
        <f>T7/R7*U7</f>
        <v>2.1951299123430932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1368.9666666666667</v>
      </c>
      <c r="H8" s="25">
        <f>H2</f>
        <v>1.1499999999999999</v>
      </c>
      <c r="I8" s="25">
        <v>4.0000000000000001E-3</v>
      </c>
      <c r="J8" s="25">
        <v>1.55E-2</v>
      </c>
      <c r="K8" s="25">
        <v>1128</v>
      </c>
      <c r="L8" s="25">
        <v>29</v>
      </c>
      <c r="M8" s="25">
        <v>16</v>
      </c>
      <c r="N8" s="25">
        <f t="shared" si="0"/>
        <v>1105.5</v>
      </c>
      <c r="O8" s="25" t="s">
        <v>1</v>
      </c>
      <c r="P8" s="25">
        <f t="shared" si="1"/>
        <v>33.919021212293259</v>
      </c>
      <c r="Q8" s="25">
        <f t="shared" si="2"/>
        <v>0.80754340256641255</v>
      </c>
      <c r="R8" s="25">
        <f>Q8/H8/J8</f>
        <v>45.303977703585559</v>
      </c>
      <c r="S8" s="25" t="s">
        <v>1</v>
      </c>
      <c r="T8" s="25">
        <f>P8/N8*R8</f>
        <v>1.390019521238516</v>
      </c>
      <c r="U8" s="25">
        <f>R8/60*1000</f>
        <v>755.06629505975934</v>
      </c>
      <c r="V8" s="25" t="s">
        <v>1</v>
      </c>
      <c r="W8" s="25">
        <f>T8/R8*U8</f>
        <v>23.166992020641935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1368.9666666666667</v>
      </c>
      <c r="H9" s="30">
        <f>H2</f>
        <v>1.1499999999999999</v>
      </c>
      <c r="J9" s="30">
        <v>0.19</v>
      </c>
      <c r="K9" s="30">
        <v>1676</v>
      </c>
      <c r="L9" s="30">
        <v>110</v>
      </c>
      <c r="M9" s="30">
        <v>89</v>
      </c>
      <c r="N9" s="30">
        <f t="shared" si="0"/>
        <v>1576.5</v>
      </c>
      <c r="P9" s="30">
        <f t="shared" si="1"/>
        <v>42.13668235635074</v>
      </c>
      <c r="Q9" s="30">
        <f t="shared" si="2"/>
        <v>1.1515985293043414</v>
      </c>
      <c r="R9" s="30">
        <f t="shared" ref="R9:R13" si="6">Q9/H9/J9</f>
        <v>5.2704738183265052</v>
      </c>
      <c r="S9" s="30" t="s">
        <v>1</v>
      </c>
      <c r="T9" s="30">
        <f t="shared" ref="T9:T16" si="7">P9/N9*R9</f>
        <v>0.140869191976078</v>
      </c>
      <c r="U9" s="30">
        <f t="shared" ref="U9:U16" si="8">R9/60*1000</f>
        <v>87.841230305441741</v>
      </c>
      <c r="V9" s="30" t="s">
        <v>1</v>
      </c>
      <c r="W9" s="30">
        <f t="shared" ref="W9:W16" si="9">T9/R9*U9</f>
        <v>2.3478198662679661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1368.9666666666667</v>
      </c>
      <c r="H10" s="30">
        <f>H2</f>
        <v>1.1499999999999999</v>
      </c>
      <c r="J10" s="30">
        <v>2.5000000000000001E-2</v>
      </c>
      <c r="K10" s="30">
        <v>249</v>
      </c>
      <c r="L10" s="30">
        <v>43</v>
      </c>
      <c r="M10" s="30">
        <v>57</v>
      </c>
      <c r="N10" s="30">
        <f t="shared" si="0"/>
        <v>199</v>
      </c>
      <c r="P10" s="30">
        <f t="shared" si="1"/>
        <v>17.291616465790582</v>
      </c>
      <c r="Q10" s="30">
        <f t="shared" si="2"/>
        <v>0.14536511724171516</v>
      </c>
      <c r="R10" s="30">
        <f t="shared" si="6"/>
        <v>5.0561779910161793</v>
      </c>
      <c r="S10" s="30" t="s">
        <v>1</v>
      </c>
      <c r="T10" s="30">
        <f t="shared" si="7"/>
        <v>0.43934417388654928</v>
      </c>
      <c r="U10" s="30">
        <f t="shared" si="8"/>
        <v>84.269633183602991</v>
      </c>
      <c r="V10" s="30" t="s">
        <v>1</v>
      </c>
      <c r="W10" s="30">
        <f t="shared" si="9"/>
        <v>7.3224028981091553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1368.9666666666667</v>
      </c>
      <c r="H11" s="32">
        <f>H2</f>
        <v>1.1499999999999999</v>
      </c>
      <c r="J11" s="32">
        <v>3.1E-2</v>
      </c>
      <c r="K11" s="32">
        <v>301</v>
      </c>
      <c r="L11" s="32">
        <v>69</v>
      </c>
      <c r="M11" s="32">
        <v>53</v>
      </c>
      <c r="N11" s="32">
        <f t="shared" si="0"/>
        <v>240</v>
      </c>
      <c r="P11" s="32">
        <f t="shared" si="1"/>
        <v>19.026297590440446</v>
      </c>
      <c r="Q11" s="32">
        <f t="shared" si="2"/>
        <v>0.17531471426136502</v>
      </c>
      <c r="R11" s="32">
        <f t="shared" si="6"/>
        <v>4.9176637941476873</v>
      </c>
      <c r="S11" s="32" t="s">
        <v>1</v>
      </c>
      <c r="T11" s="32">
        <f t="shared" si="7"/>
        <v>0.38985389498828488</v>
      </c>
      <c r="U11" s="32">
        <f t="shared" si="8"/>
        <v>81.961063235794782</v>
      </c>
      <c r="V11" s="32" t="s">
        <v>1</v>
      </c>
      <c r="W11" s="32">
        <f t="shared" si="9"/>
        <v>6.497564916471414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1368.9666666666667</v>
      </c>
      <c r="H12" s="32">
        <f>H2</f>
        <v>1.1499999999999999</v>
      </c>
      <c r="J12" s="32">
        <v>0.03</v>
      </c>
      <c r="K12" s="32">
        <v>290</v>
      </c>
      <c r="L12" s="32">
        <v>39</v>
      </c>
      <c r="M12" s="32">
        <v>38</v>
      </c>
      <c r="N12" s="32">
        <f t="shared" si="0"/>
        <v>251.5</v>
      </c>
      <c r="P12" s="32">
        <f t="shared" si="1"/>
        <v>18.124568960391858</v>
      </c>
      <c r="Q12" s="32">
        <f t="shared" si="2"/>
        <v>0.18371521098638877</v>
      </c>
      <c r="R12" s="32">
        <f t="shared" si="6"/>
        <v>5.3250785793156163</v>
      </c>
      <c r="S12" s="32" t="s">
        <v>1</v>
      </c>
      <c r="T12" s="32">
        <f t="shared" si="7"/>
        <v>0.38375647686008507</v>
      </c>
      <c r="U12" s="32">
        <f t="shared" si="8"/>
        <v>88.751309655260272</v>
      </c>
      <c r="V12" s="32" t="s">
        <v>1</v>
      </c>
      <c r="W12" s="32">
        <f t="shared" si="9"/>
        <v>6.3959412810014173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1368.9666666666667</v>
      </c>
      <c r="H13" s="32">
        <f>H2</f>
        <v>1.1499999999999999</v>
      </c>
      <c r="J13" s="32">
        <v>1.7999999999999999E-2</v>
      </c>
      <c r="K13" s="32">
        <v>179</v>
      </c>
      <c r="L13" s="32">
        <v>30</v>
      </c>
      <c r="M13" s="32">
        <v>30</v>
      </c>
      <c r="N13" s="32">
        <f t="shared" si="0"/>
        <v>149</v>
      </c>
      <c r="P13" s="32">
        <f t="shared" si="1"/>
        <v>14.456832294800961</v>
      </c>
      <c r="Q13" s="32">
        <f t="shared" si="2"/>
        <v>0.10884121843726412</v>
      </c>
      <c r="R13" s="32">
        <f t="shared" si="6"/>
        <v>5.2580298761963347</v>
      </c>
      <c r="S13" s="32" t="s">
        <v>1</v>
      </c>
      <c r="T13" s="32">
        <f t="shared" si="7"/>
        <v>0.51016413504176827</v>
      </c>
      <c r="U13" s="32">
        <f t="shared" si="8"/>
        <v>87.633831269938909</v>
      </c>
      <c r="V13" s="32" t="s">
        <v>1</v>
      </c>
      <c r="W13" s="32">
        <f t="shared" si="9"/>
        <v>8.5027355840294714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1368.9666666666667</v>
      </c>
      <c r="H14" s="22">
        <f>H2</f>
        <v>1.1499999999999999</v>
      </c>
      <c r="I14" s="22">
        <v>5.0000000000000001E-3</v>
      </c>
      <c r="J14" s="22">
        <f>J4+J5+J6</f>
        <v>0.26400000000000001</v>
      </c>
      <c r="K14" s="22">
        <f>K4+K5+K6</f>
        <v>4747</v>
      </c>
      <c r="L14" s="22">
        <f>L4+L5+L6</f>
        <v>191</v>
      </c>
      <c r="M14" s="22">
        <f>M4+M5+M6</f>
        <v>165</v>
      </c>
      <c r="N14" s="22">
        <f>N4+N5+N6</f>
        <v>4569</v>
      </c>
      <c r="O14" s="22" t="s">
        <v>1</v>
      </c>
      <c r="P14" s="22">
        <f>SQRT((K14+(L14+M14)/2))</f>
        <v>70.178344238091</v>
      </c>
      <c r="Q14" s="22">
        <f>N14/G14</f>
        <v>3.3375538727507363</v>
      </c>
      <c r="R14" s="22">
        <f>(Q14/H14/J14)</f>
        <v>10.993260450430622</v>
      </c>
      <c r="S14" s="22" t="s">
        <v>1</v>
      </c>
      <c r="T14" s="22">
        <f>P14/N14*R14</f>
        <v>0.16885288163478038</v>
      </c>
      <c r="U14" s="22">
        <f>R14/60*1000</f>
        <v>183.22100750717703</v>
      </c>
      <c r="V14" s="22" t="s">
        <v>1</v>
      </c>
      <c r="W14" s="22">
        <f>T14/R14*U14</f>
        <v>2.8142146939130064</v>
      </c>
      <c r="X14" s="22"/>
    </row>
    <row r="15" spans="1:25" s="31" customFormat="1" x14ac:dyDescent="0.25">
      <c r="B15" s="31" t="s">
        <v>44</v>
      </c>
      <c r="G15" s="31">
        <f>G14</f>
        <v>1368.9666666666667</v>
      </c>
      <c r="H15" s="31">
        <f>H14</f>
        <v>1.1499999999999999</v>
      </c>
      <c r="I15" s="31">
        <v>5.0000000000000001E-3</v>
      </c>
      <c r="J15" s="31">
        <f>J9+J10</f>
        <v>0.215</v>
      </c>
      <c r="K15" s="31">
        <f>K9+K10</f>
        <v>1925</v>
      </c>
      <c r="L15" s="31">
        <f>L9+L10</f>
        <v>153</v>
      </c>
      <c r="M15" s="31">
        <f>M9+M10</f>
        <v>146</v>
      </c>
      <c r="N15" s="31">
        <f>N9+N10</f>
        <v>1775.5</v>
      </c>
      <c r="O15" s="31" t="s">
        <v>1</v>
      </c>
      <c r="P15" s="31">
        <f>SQRT((K15+(L15+M15)/2))</f>
        <v>45.546679352066931</v>
      </c>
      <c r="Q15" s="31">
        <f>N15/G15</f>
        <v>1.2969636465460566</v>
      </c>
      <c r="R15" s="31">
        <f>(Q15/H15/J15)</f>
        <v>5.2455556988718159</v>
      </c>
      <c r="S15" s="31" t="s">
        <v>1</v>
      </c>
      <c r="T15" s="31">
        <f>P15/N15*R15</f>
        <v>0.13456358402699067</v>
      </c>
      <c r="U15" s="31">
        <f>R15/60*1000</f>
        <v>87.425928314530267</v>
      </c>
      <c r="V15" s="31" t="s">
        <v>1</v>
      </c>
      <c r="W15" s="31">
        <f>T15/R15*U15</f>
        <v>2.2427264004498446</v>
      </c>
      <c r="X15" s="31">
        <v>3225</v>
      </c>
    </row>
    <row r="16" spans="1:25" s="33" customFormat="1" x14ac:dyDescent="0.25">
      <c r="B16" s="33" t="s">
        <v>46</v>
      </c>
      <c r="G16" s="33">
        <f>G10</f>
        <v>1368.9666666666667</v>
      </c>
      <c r="H16" s="33">
        <f>H10</f>
        <v>1.1499999999999999</v>
      </c>
      <c r="I16" s="33">
        <v>5.0000000000000001E-3</v>
      </c>
      <c r="J16" s="33">
        <f>J11+J12+J13</f>
        <v>7.9000000000000001E-2</v>
      </c>
      <c r="K16" s="33">
        <f>K11+K12+K13</f>
        <v>770</v>
      </c>
      <c r="L16" s="33">
        <f>L11+L12+L13</f>
        <v>138</v>
      </c>
      <c r="M16" s="33">
        <f t="shared" ref="M16" si="10">M11+M12+M13</f>
        <v>121</v>
      </c>
      <c r="N16" s="33">
        <f>N11+N12+N13</f>
        <v>640.5</v>
      </c>
      <c r="O16" s="33" t="s">
        <v>1</v>
      </c>
      <c r="P16" s="33">
        <f t="shared" si="1"/>
        <v>29.991665508937647</v>
      </c>
      <c r="Q16" s="33">
        <f t="shared" si="2"/>
        <v>0.46787114368501787</v>
      </c>
      <c r="R16" s="33">
        <f>(Q16/H16/J16)</f>
        <v>5.1499300350579844</v>
      </c>
      <c r="S16" s="33" t="s">
        <v>1</v>
      </c>
      <c r="T16" s="33">
        <f t="shared" si="7"/>
        <v>0.24114750820591818</v>
      </c>
      <c r="U16" s="33">
        <f t="shared" si="8"/>
        <v>85.832167250966407</v>
      </c>
      <c r="V16" s="33" t="s">
        <v>1</v>
      </c>
      <c r="W16" s="33">
        <f t="shared" si="9"/>
        <v>4.0191251367653029</v>
      </c>
      <c r="X16" s="33">
        <v>3225</v>
      </c>
    </row>
    <row r="18" spans="1:7" x14ac:dyDescent="0.25">
      <c r="A18" t="s">
        <v>49</v>
      </c>
      <c r="B18" t="s">
        <v>50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60</v>
      </c>
      <c r="D21">
        <v>242</v>
      </c>
      <c r="E21">
        <v>260</v>
      </c>
      <c r="F21" t="s">
        <v>61</v>
      </c>
      <c r="G21">
        <v>52.23</v>
      </c>
    </row>
    <row r="22" spans="1:7" x14ac:dyDescent="0.25">
      <c r="A22" t="s">
        <v>62</v>
      </c>
      <c r="B22" t="s">
        <v>63</v>
      </c>
      <c r="C22">
        <v>243</v>
      </c>
      <c r="D22">
        <v>181</v>
      </c>
      <c r="E22">
        <v>182</v>
      </c>
      <c r="F22">
        <v>81</v>
      </c>
      <c r="G22">
        <v>15.59</v>
      </c>
    </row>
    <row r="23" spans="1:7" x14ac:dyDescent="0.25">
      <c r="A23" t="s">
        <v>64</v>
      </c>
      <c r="B23" t="s">
        <v>65</v>
      </c>
      <c r="C23" t="s">
        <v>66</v>
      </c>
      <c r="D23">
        <v>66</v>
      </c>
      <c r="E23">
        <v>57</v>
      </c>
      <c r="F23" t="s">
        <v>67</v>
      </c>
      <c r="G23">
        <v>38.340000000000003</v>
      </c>
    </row>
    <row r="24" spans="1:7" x14ac:dyDescent="0.25">
      <c r="A24" t="s">
        <v>64</v>
      </c>
      <c r="B24" t="s">
        <v>68</v>
      </c>
      <c r="C24" t="s">
        <v>69</v>
      </c>
      <c r="D24">
        <v>78</v>
      </c>
      <c r="E24">
        <v>66</v>
      </c>
      <c r="F24" t="s">
        <v>70</v>
      </c>
      <c r="G24">
        <v>49.38</v>
      </c>
    </row>
    <row r="25" spans="1:7" x14ac:dyDescent="0.25">
      <c r="A25" t="s">
        <v>71</v>
      </c>
      <c r="B25" t="s">
        <v>72</v>
      </c>
      <c r="C25">
        <v>839</v>
      </c>
      <c r="D25">
        <v>47</v>
      </c>
      <c r="E25">
        <v>42</v>
      </c>
      <c r="F25">
        <v>797</v>
      </c>
      <c r="G25">
        <v>28.97</v>
      </c>
    </row>
    <row r="26" spans="1:7" x14ac:dyDescent="0.25">
      <c r="A26" t="s">
        <v>73</v>
      </c>
      <c r="B26" t="s">
        <v>74</v>
      </c>
      <c r="C26" t="s">
        <v>75</v>
      </c>
      <c r="D26">
        <v>55</v>
      </c>
      <c r="E26">
        <v>33</v>
      </c>
      <c r="F26" t="s">
        <v>76</v>
      </c>
      <c r="G26">
        <v>50.78</v>
      </c>
    </row>
    <row r="27" spans="1:7" x14ac:dyDescent="0.25">
      <c r="A27" t="s">
        <v>77</v>
      </c>
      <c r="B27" t="s">
        <v>78</v>
      </c>
      <c r="C27" t="s">
        <v>79</v>
      </c>
      <c r="D27">
        <v>29</v>
      </c>
      <c r="E27">
        <v>16</v>
      </c>
      <c r="F27" t="s">
        <v>80</v>
      </c>
      <c r="G27">
        <v>33.590000000000003</v>
      </c>
    </row>
    <row r="28" spans="1:7" x14ac:dyDescent="0.25">
      <c r="A28" t="s">
        <v>71</v>
      </c>
      <c r="B28" t="s">
        <v>81</v>
      </c>
      <c r="C28">
        <v>160</v>
      </c>
      <c r="D28">
        <v>23</v>
      </c>
      <c r="E28">
        <v>36</v>
      </c>
      <c r="F28">
        <v>131</v>
      </c>
      <c r="G28">
        <v>12.65</v>
      </c>
    </row>
    <row r="29" spans="1:7" x14ac:dyDescent="0.25">
      <c r="A29" t="s">
        <v>82</v>
      </c>
      <c r="B29" t="s">
        <v>83</v>
      </c>
      <c r="C29">
        <v>9</v>
      </c>
      <c r="D29">
        <v>24</v>
      </c>
      <c r="E29">
        <v>13</v>
      </c>
      <c r="F29">
        <v>-8</v>
      </c>
      <c r="G29">
        <v>3</v>
      </c>
    </row>
    <row r="30" spans="1:7" x14ac:dyDescent="0.25">
      <c r="A30" t="s">
        <v>84</v>
      </c>
      <c r="B30" t="s">
        <v>85</v>
      </c>
      <c r="C30" t="s">
        <v>86</v>
      </c>
      <c r="D30">
        <v>266</v>
      </c>
      <c r="E30">
        <v>263</v>
      </c>
      <c r="F30" t="s">
        <v>87</v>
      </c>
      <c r="G30">
        <v>46.9</v>
      </c>
    </row>
    <row r="31" spans="1:7" x14ac:dyDescent="0.25">
      <c r="A31" t="s">
        <v>88</v>
      </c>
      <c r="B31" t="s">
        <v>89</v>
      </c>
      <c r="C31" t="s">
        <v>90</v>
      </c>
      <c r="D31">
        <v>127</v>
      </c>
      <c r="E31">
        <v>110</v>
      </c>
      <c r="F31" t="s">
        <v>91</v>
      </c>
      <c r="G31">
        <v>43.84</v>
      </c>
    </row>
    <row r="32" spans="1:7" x14ac:dyDescent="0.25">
      <c r="A32" t="s">
        <v>92</v>
      </c>
      <c r="B32" t="s">
        <v>93</v>
      </c>
      <c r="C32" t="s">
        <v>94</v>
      </c>
      <c r="D32">
        <v>110</v>
      </c>
      <c r="E32">
        <v>89</v>
      </c>
      <c r="F32" t="s">
        <v>95</v>
      </c>
      <c r="G32">
        <v>40.94</v>
      </c>
    </row>
    <row r="33" spans="1:7" x14ac:dyDescent="0.25">
      <c r="A33" t="s">
        <v>96</v>
      </c>
      <c r="B33" t="s">
        <v>97</v>
      </c>
      <c r="C33">
        <v>249</v>
      </c>
      <c r="D33">
        <v>43</v>
      </c>
      <c r="E33">
        <v>57</v>
      </c>
      <c r="F33">
        <v>202</v>
      </c>
      <c r="G33">
        <v>15.78</v>
      </c>
    </row>
    <row r="34" spans="1:7" x14ac:dyDescent="0.25">
      <c r="A34" t="s">
        <v>82</v>
      </c>
      <c r="B34" t="s">
        <v>98</v>
      </c>
      <c r="C34">
        <v>301</v>
      </c>
      <c r="D34">
        <v>69</v>
      </c>
      <c r="E34">
        <v>53</v>
      </c>
      <c r="F34">
        <v>245</v>
      </c>
      <c r="G34">
        <v>17.350000000000001</v>
      </c>
    </row>
    <row r="35" spans="1:7" x14ac:dyDescent="0.25">
      <c r="A35" t="s">
        <v>82</v>
      </c>
      <c r="B35" t="s">
        <v>99</v>
      </c>
      <c r="C35">
        <v>290</v>
      </c>
      <c r="D35">
        <v>39</v>
      </c>
      <c r="E35">
        <v>38</v>
      </c>
      <c r="F35">
        <v>253</v>
      </c>
      <c r="G35">
        <v>17.03</v>
      </c>
    </row>
    <row r="36" spans="1:7" x14ac:dyDescent="0.25">
      <c r="A36" t="s">
        <v>82</v>
      </c>
      <c r="B36" t="s">
        <v>100</v>
      </c>
      <c r="C36">
        <v>179</v>
      </c>
      <c r="D36">
        <v>30</v>
      </c>
      <c r="E36">
        <v>30</v>
      </c>
      <c r="F36">
        <v>150</v>
      </c>
      <c r="G36">
        <v>13.38</v>
      </c>
    </row>
    <row r="37" spans="1:7" x14ac:dyDescent="0.25">
      <c r="A37" t="s">
        <v>101</v>
      </c>
      <c r="B37" t="s">
        <v>102</v>
      </c>
      <c r="C37">
        <v>481</v>
      </c>
      <c r="D37">
        <v>128</v>
      </c>
      <c r="E37">
        <v>141</v>
      </c>
      <c r="F37">
        <v>324</v>
      </c>
      <c r="G37">
        <v>21.93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"/>
  <sheetViews>
    <sheetView workbookViewId="0">
      <selection activeCell="L3" sqref="L3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259009/60</f>
        <v>4316.8166666666666</v>
      </c>
      <c r="H2" s="20">
        <f>2.86-1.78</f>
        <v>1.0799999999999998</v>
      </c>
      <c r="I2" s="20">
        <v>0</v>
      </c>
      <c r="J2" s="20">
        <v>2.1399999999999999E-2</v>
      </c>
      <c r="K2" s="20">
        <v>11133</v>
      </c>
      <c r="L2" s="20">
        <v>1005</v>
      </c>
      <c r="M2" s="20">
        <v>737</v>
      </c>
      <c r="N2" s="20">
        <f t="shared" ref="N2:N13" si="0">K2-(L2+M2)/2</f>
        <v>10262</v>
      </c>
      <c r="O2" s="20" t="s">
        <v>1</v>
      </c>
      <c r="P2" s="20">
        <f t="shared" ref="P2:P16" si="1">SQRT((K2+(L2+M2)/2))</f>
        <v>109.5627673984187</v>
      </c>
      <c r="Q2" s="20">
        <f t="shared" ref="Q2:Q16" si="2">N2/G2</f>
        <v>2.3772146913813805</v>
      </c>
      <c r="R2" s="20">
        <f>(Q2/H2/J2)</f>
        <v>102.8562950580383</v>
      </c>
      <c r="S2" s="20" t="s">
        <v>1</v>
      </c>
      <c r="T2" s="20">
        <f>P2/N2*R2</f>
        <v>1.0981504902462456</v>
      </c>
      <c r="U2" s="20">
        <f>R2/60*1000</f>
        <v>1714.2715843006383</v>
      </c>
      <c r="V2" s="20" t="s">
        <v>1</v>
      </c>
      <c r="W2" s="20">
        <f>T2/R2*U2</f>
        <v>18.302508170770757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4316.8166666666666</v>
      </c>
      <c r="H3" s="21">
        <f>H2</f>
        <v>1.0799999999999998</v>
      </c>
      <c r="I3" s="21">
        <v>0</v>
      </c>
      <c r="J3" s="21">
        <v>0.26</v>
      </c>
      <c r="K3" s="21">
        <v>846</v>
      </c>
      <c r="L3" s="21">
        <v>572</v>
      </c>
      <c r="M3" s="21">
        <v>602</v>
      </c>
      <c r="N3" s="21">
        <f t="shared" si="0"/>
        <v>259</v>
      </c>
      <c r="O3" s="21" t="s">
        <v>1</v>
      </c>
      <c r="P3" s="21">
        <f t="shared" si="1"/>
        <v>37.8549864614954</v>
      </c>
      <c r="Q3" s="21">
        <f t="shared" si="2"/>
        <v>5.9997915130362268E-2</v>
      </c>
      <c r="R3" s="21">
        <f>Q3/H3/J3</f>
        <v>0.21366778892579155</v>
      </c>
      <c r="S3" s="21" t="s">
        <v>1</v>
      </c>
      <c r="T3" s="21">
        <f>P3/N3*R3</f>
        <v>3.122930987275481E-2</v>
      </c>
      <c r="U3" s="21">
        <f>R3/60*1000</f>
        <v>3.561129815429859</v>
      </c>
      <c r="V3" s="21" t="s">
        <v>1</v>
      </c>
      <c r="W3" s="21">
        <f>T3/R3*U3</f>
        <v>0.52048849787924678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4316.8166666666666</v>
      </c>
      <c r="H4" s="19">
        <f>H2</f>
        <v>1.0799999999999998</v>
      </c>
      <c r="I4" s="19"/>
      <c r="J4" s="19">
        <v>8.1000000000000003E-2</v>
      </c>
      <c r="K4" s="19">
        <v>4673</v>
      </c>
      <c r="L4" s="19">
        <v>240</v>
      </c>
      <c r="M4" s="19">
        <v>205</v>
      </c>
      <c r="N4" s="19">
        <f t="shared" si="0"/>
        <v>4450.5</v>
      </c>
      <c r="O4" s="19" t="s">
        <v>1</v>
      </c>
      <c r="P4" s="19">
        <f t="shared" si="1"/>
        <v>69.967849759728935</v>
      </c>
      <c r="Q4" s="19">
        <f t="shared" si="2"/>
        <v>1.0309680358597577</v>
      </c>
      <c r="R4" s="19">
        <f>(Q4/H4/J4)</f>
        <v>11.785185595104686</v>
      </c>
      <c r="S4" s="19" t="s">
        <v>1</v>
      </c>
      <c r="T4" s="19">
        <f t="shared" ref="T4:T6" si="3">P4/N4*R4</f>
        <v>0.18527897879087882</v>
      </c>
      <c r="U4" s="19">
        <f t="shared" ref="U4:U6" si="4">R4/60*1000</f>
        <v>196.41975991841144</v>
      </c>
      <c r="V4" s="19" t="s">
        <v>1</v>
      </c>
      <c r="W4" s="19">
        <f t="shared" ref="W4:W6" si="5">T4/R4*U4</f>
        <v>3.0879829798479808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4316.8166666666666</v>
      </c>
      <c r="H5" s="19">
        <f>H2</f>
        <v>1.0799999999999998</v>
      </c>
      <c r="I5" s="19">
        <v>2E-3</v>
      </c>
      <c r="J5" s="19">
        <v>0.13700000000000001</v>
      </c>
      <c r="K5" s="19">
        <v>7668</v>
      </c>
      <c r="L5" s="19">
        <v>290</v>
      </c>
      <c r="M5" s="19">
        <v>205</v>
      </c>
      <c r="N5" s="19">
        <f t="shared" si="0"/>
        <v>7420.5</v>
      </c>
      <c r="O5" s="19" t="s">
        <v>1</v>
      </c>
      <c r="P5" s="19">
        <f t="shared" si="1"/>
        <v>88.96909575802151</v>
      </c>
      <c r="Q5" s="19">
        <f t="shared" si="2"/>
        <v>1.7189750163121744</v>
      </c>
      <c r="R5" s="19">
        <f>(Q5/H5/J5)</f>
        <v>11.617836011842218</v>
      </c>
      <c r="S5" s="19" t="s">
        <v>1</v>
      </c>
      <c r="T5" s="19">
        <f t="shared" si="3"/>
        <v>0.13929362773917944</v>
      </c>
      <c r="U5" s="19">
        <f t="shared" si="4"/>
        <v>193.63060019737031</v>
      </c>
      <c r="V5" s="19" t="s">
        <v>1</v>
      </c>
      <c r="W5" s="19">
        <f t="shared" si="5"/>
        <v>2.3215604623196575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4316.8166666666666</v>
      </c>
      <c r="H6" s="19">
        <f>H2</f>
        <v>1.0799999999999998</v>
      </c>
      <c r="I6" s="19">
        <v>2E-3</v>
      </c>
      <c r="J6" s="19">
        <v>4.5999999999999999E-2</v>
      </c>
      <c r="K6" s="19">
        <v>2665</v>
      </c>
      <c r="L6" s="19">
        <v>166</v>
      </c>
      <c r="M6" s="19">
        <v>162</v>
      </c>
      <c r="N6" s="19">
        <f t="shared" si="0"/>
        <v>2501</v>
      </c>
      <c r="O6" s="19" t="s">
        <v>1</v>
      </c>
      <c r="P6" s="19">
        <f t="shared" si="1"/>
        <v>53.1883445878888</v>
      </c>
      <c r="Q6" s="19">
        <f t="shared" si="2"/>
        <v>0.5793621071082472</v>
      </c>
      <c r="R6" s="19">
        <f>(Q6/H6/J6)</f>
        <v>11.661878162404333</v>
      </c>
      <c r="S6" s="19" t="s">
        <v>1</v>
      </c>
      <c r="T6" s="19">
        <f t="shared" si="3"/>
        <v>0.24801119322028672</v>
      </c>
      <c r="U6" s="19">
        <f t="shared" si="4"/>
        <v>194.36463604007224</v>
      </c>
      <c r="V6" s="19" t="s">
        <v>1</v>
      </c>
      <c r="W6" s="19">
        <f t="shared" si="5"/>
        <v>4.1335198870047796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4316.8166666666666</v>
      </c>
      <c r="H7" s="23">
        <f>H2</f>
        <v>1.0799999999999998</v>
      </c>
      <c r="I7" s="23">
        <v>1E-3</v>
      </c>
      <c r="J7" s="23">
        <v>0.247</v>
      </c>
      <c r="K7" s="23">
        <v>10456</v>
      </c>
      <c r="L7" s="23">
        <v>185</v>
      </c>
      <c r="M7" s="23">
        <v>155</v>
      </c>
      <c r="N7" s="23">
        <f t="shared" si="0"/>
        <v>10286</v>
      </c>
      <c r="O7" s="23" t="s">
        <v>1</v>
      </c>
      <c r="P7" s="23">
        <f t="shared" si="1"/>
        <v>103.0824912388132</v>
      </c>
      <c r="Q7" s="23">
        <f t="shared" si="2"/>
        <v>2.382774343748673</v>
      </c>
      <c r="R7" s="23">
        <f>Q7/H7/J7</f>
        <v>8.9322774919353485</v>
      </c>
      <c r="S7" s="23" t="s">
        <v>1</v>
      </c>
      <c r="T7" s="23">
        <f>P7/N7*R7</f>
        <v>8.9515984474535668E-2</v>
      </c>
      <c r="U7" s="23">
        <f>R7/60*1000</f>
        <v>148.87129153225581</v>
      </c>
      <c r="V7" s="23" t="s">
        <v>1</v>
      </c>
      <c r="W7" s="23">
        <f>T7/R7*U7</f>
        <v>1.4919330745755945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4316.8166666666666</v>
      </c>
      <c r="H8" s="25">
        <f>H2</f>
        <v>1.0799999999999998</v>
      </c>
      <c r="I8" s="25">
        <v>4.0000000000000001E-3</v>
      </c>
      <c r="J8" s="25">
        <v>1.55E-2</v>
      </c>
      <c r="K8" s="25">
        <v>3242</v>
      </c>
      <c r="L8" s="25">
        <v>72</v>
      </c>
      <c r="M8" s="25">
        <v>67</v>
      </c>
      <c r="N8" s="25">
        <f t="shared" si="0"/>
        <v>3172.5</v>
      </c>
      <c r="O8" s="25" t="s">
        <v>1</v>
      </c>
      <c r="P8" s="25">
        <f t="shared" si="1"/>
        <v>57.54563406549623</v>
      </c>
      <c r="Q8" s="25">
        <f t="shared" si="2"/>
        <v>0.73491654730144518</v>
      </c>
      <c r="R8" s="25">
        <f>Q8/H8/J8</f>
        <v>43.901824808927437</v>
      </c>
      <c r="S8" s="25" t="s">
        <v>1</v>
      </c>
      <c r="T8" s="25">
        <f>P8/N8*R8</f>
        <v>0.79633044767913697</v>
      </c>
      <c r="U8" s="25">
        <f>R8/60*1000</f>
        <v>731.69708014879063</v>
      </c>
      <c r="V8" s="25" t="s">
        <v>1</v>
      </c>
      <c r="W8" s="25">
        <f>T8/R8*U8</f>
        <v>13.272174127985616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4316.8166666666666</v>
      </c>
      <c r="H9" s="30">
        <f>H2</f>
        <v>1.0799999999999998</v>
      </c>
      <c r="J9" s="30">
        <v>0.19</v>
      </c>
      <c r="K9" s="30">
        <v>5260</v>
      </c>
      <c r="L9" s="30">
        <v>368</v>
      </c>
      <c r="M9" s="30">
        <v>304</v>
      </c>
      <c r="N9" s="30">
        <f t="shared" si="0"/>
        <v>4924</v>
      </c>
      <c r="P9" s="30">
        <f t="shared" si="1"/>
        <v>74.806416837060169</v>
      </c>
      <c r="Q9" s="30">
        <f t="shared" si="2"/>
        <v>1.1406553440227947</v>
      </c>
      <c r="R9" s="30">
        <f t="shared" ref="R9:R13" si="6">Q9/H9/J9</f>
        <v>5.5587492398771676</v>
      </c>
      <c r="S9" s="30" t="s">
        <v>1</v>
      </c>
      <c r="T9" s="30">
        <f t="shared" ref="T9:T16" si="7">P9/N9*R9</f>
        <v>8.4449657337721931E-2</v>
      </c>
      <c r="U9" s="30">
        <f t="shared" ref="U9:U16" si="8">R9/60*1000</f>
        <v>92.645820664619464</v>
      </c>
      <c r="V9" s="30" t="s">
        <v>1</v>
      </c>
      <c r="W9" s="30">
        <f t="shared" ref="W9:W16" si="9">T9/R9*U9</f>
        <v>1.4074942889620323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4316.8166666666666</v>
      </c>
      <c r="H10" s="30">
        <f>H2</f>
        <v>1.0799999999999998</v>
      </c>
      <c r="J10" s="30">
        <v>2.5000000000000001E-2</v>
      </c>
      <c r="K10" s="30">
        <v>729</v>
      </c>
      <c r="L10" s="30">
        <v>134</v>
      </c>
      <c r="M10" s="30">
        <v>141</v>
      </c>
      <c r="N10" s="30">
        <f t="shared" si="0"/>
        <v>591.5</v>
      </c>
      <c r="P10" s="30">
        <f t="shared" si="1"/>
        <v>29.436372059070052</v>
      </c>
      <c r="Q10" s="30">
        <f t="shared" si="2"/>
        <v>0.13702226563555706</v>
      </c>
      <c r="R10" s="30">
        <f t="shared" si="6"/>
        <v>5.0748987272428545</v>
      </c>
      <c r="S10" s="30" t="s">
        <v>1</v>
      </c>
      <c r="T10" s="30">
        <f t="shared" si="7"/>
        <v>0.25255554876960562</v>
      </c>
      <c r="U10" s="30">
        <f t="shared" si="8"/>
        <v>84.581645454047575</v>
      </c>
      <c r="V10" s="30" t="s">
        <v>1</v>
      </c>
      <c r="W10" s="30">
        <f t="shared" si="9"/>
        <v>4.2092591461600941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4316.8166666666666</v>
      </c>
      <c r="H11" s="32">
        <f>H2</f>
        <v>1.0799999999999998</v>
      </c>
      <c r="J11" s="32">
        <v>3.1E-2</v>
      </c>
      <c r="K11" s="32">
        <v>955</v>
      </c>
      <c r="L11" s="32">
        <v>207</v>
      </c>
      <c r="M11" s="32">
        <v>205</v>
      </c>
      <c r="N11" s="32">
        <f t="shared" si="0"/>
        <v>749</v>
      </c>
      <c r="P11" s="32">
        <f t="shared" si="1"/>
        <v>34.073450074801642</v>
      </c>
      <c r="Q11" s="32">
        <f t="shared" si="2"/>
        <v>0.17350748429591251</v>
      </c>
      <c r="R11" s="32">
        <f t="shared" si="6"/>
        <v>5.1824218726377698</v>
      </c>
      <c r="S11" s="32" t="s">
        <v>1</v>
      </c>
      <c r="T11" s="32">
        <f t="shared" si="7"/>
        <v>0.23575833503856217</v>
      </c>
      <c r="U11" s="32">
        <f t="shared" si="8"/>
        <v>86.373697877296166</v>
      </c>
      <c r="V11" s="32" t="s">
        <v>1</v>
      </c>
      <c r="W11" s="32">
        <f t="shared" si="9"/>
        <v>3.9293055839760362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4316.8166666666666</v>
      </c>
      <c r="H12" s="32">
        <f>H2</f>
        <v>1.0799999999999998</v>
      </c>
      <c r="J12" s="32">
        <v>0.03</v>
      </c>
      <c r="K12" s="32">
        <v>874</v>
      </c>
      <c r="L12" s="32">
        <v>121</v>
      </c>
      <c r="M12" s="32">
        <v>122</v>
      </c>
      <c r="N12" s="32">
        <f t="shared" si="0"/>
        <v>752.5</v>
      </c>
      <c r="P12" s="32">
        <f t="shared" si="1"/>
        <v>31.551545128567</v>
      </c>
      <c r="Q12" s="32">
        <f t="shared" si="2"/>
        <v>0.17431826693280927</v>
      </c>
      <c r="R12" s="32">
        <f t="shared" si="6"/>
        <v>5.3801934238521394</v>
      </c>
      <c r="S12" s="32" t="s">
        <v>1</v>
      </c>
      <c r="T12" s="32">
        <f t="shared" si="7"/>
        <v>0.22558593436955507</v>
      </c>
      <c r="U12" s="32">
        <f t="shared" si="8"/>
        <v>89.669890397535653</v>
      </c>
      <c r="V12" s="32" t="s">
        <v>1</v>
      </c>
      <c r="W12" s="32">
        <f t="shared" si="9"/>
        <v>3.7597655728259176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4316.8166666666666</v>
      </c>
      <c r="H13" s="32">
        <f>H2</f>
        <v>1.0799999999999998</v>
      </c>
      <c r="J13" s="32">
        <v>1.7999999999999999E-2</v>
      </c>
      <c r="K13" s="32">
        <v>534</v>
      </c>
      <c r="L13" s="32">
        <v>93</v>
      </c>
      <c r="M13" s="32">
        <v>97</v>
      </c>
      <c r="N13" s="32">
        <f t="shared" si="0"/>
        <v>439</v>
      </c>
      <c r="P13" s="32">
        <f t="shared" si="1"/>
        <v>25.079872407968907</v>
      </c>
      <c r="Q13" s="32">
        <f t="shared" si="2"/>
        <v>0.1016953078850542</v>
      </c>
      <c r="R13" s="32">
        <f t="shared" si="6"/>
        <v>5.2312401175439414</v>
      </c>
      <c r="S13" s="32" t="s">
        <v>1</v>
      </c>
      <c r="T13" s="32">
        <f t="shared" si="7"/>
        <v>0.29885839335637887</v>
      </c>
      <c r="U13" s="32">
        <f t="shared" si="8"/>
        <v>87.187335292399027</v>
      </c>
      <c r="V13" s="32" t="s">
        <v>1</v>
      </c>
      <c r="W13" s="32">
        <f t="shared" si="9"/>
        <v>4.9809732226063144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4316.8166666666666</v>
      </c>
      <c r="H14" s="22">
        <f>H2</f>
        <v>1.0799999999999998</v>
      </c>
      <c r="I14" s="22">
        <v>5.0000000000000001E-3</v>
      </c>
      <c r="J14" s="22">
        <f>J4+J5+J6</f>
        <v>0.26400000000000001</v>
      </c>
      <c r="K14" s="22">
        <f>K4+K5+K6</f>
        <v>15006</v>
      </c>
      <c r="L14" s="22">
        <f>L4+L5+L6</f>
        <v>696</v>
      </c>
      <c r="M14" s="22">
        <f>M4+M5+M6</f>
        <v>572</v>
      </c>
      <c r="N14" s="22">
        <f>N4+N5+N6</f>
        <v>14372</v>
      </c>
      <c r="O14" s="22" t="s">
        <v>1</v>
      </c>
      <c r="P14" s="22">
        <f>SQRT((K14+(L14+M14)/2))</f>
        <v>125.05998560690786</v>
      </c>
      <c r="Q14" s="22">
        <f>N14/G14</f>
        <v>3.3293051592801794</v>
      </c>
      <c r="R14" s="22">
        <f>(Q14/H14/J14)</f>
        <v>11.676855917789631</v>
      </c>
      <c r="S14" s="22" t="s">
        <v>1</v>
      </c>
      <c r="T14" s="22">
        <f>P14/N14*R14</f>
        <v>0.10160780914366185</v>
      </c>
      <c r="U14" s="22">
        <f>R14/60*1000</f>
        <v>194.61426529649384</v>
      </c>
      <c r="V14" s="22" t="s">
        <v>1</v>
      </c>
      <c r="W14" s="22">
        <f>T14/R14*U14</f>
        <v>1.6934634857276973</v>
      </c>
      <c r="X14" s="22"/>
    </row>
    <row r="15" spans="1:25" s="31" customFormat="1" x14ac:dyDescent="0.25">
      <c r="B15" s="31" t="s">
        <v>44</v>
      </c>
      <c r="G15" s="31">
        <f>G14</f>
        <v>4316.8166666666666</v>
      </c>
      <c r="H15" s="31">
        <f>H14</f>
        <v>1.0799999999999998</v>
      </c>
      <c r="I15" s="31">
        <v>5.0000000000000001E-3</v>
      </c>
      <c r="J15" s="31">
        <f>J9+J10</f>
        <v>0.215</v>
      </c>
      <c r="K15" s="31">
        <f>K9+K10</f>
        <v>5989</v>
      </c>
      <c r="L15" s="31">
        <f>L9+L10</f>
        <v>502</v>
      </c>
      <c r="M15" s="31">
        <f>M9+M10</f>
        <v>445</v>
      </c>
      <c r="N15" s="31">
        <f>N9+N10</f>
        <v>5515.5</v>
      </c>
      <c r="O15" s="31" t="s">
        <v>1</v>
      </c>
      <c r="P15" s="31">
        <f>SQRT((K15+(L15+M15)/2))</f>
        <v>80.389675954067641</v>
      </c>
      <c r="Q15" s="31">
        <f>N15/G15</f>
        <v>1.2776776096583518</v>
      </c>
      <c r="R15" s="31">
        <f>(Q15/H15/J15)</f>
        <v>5.5024875523615506</v>
      </c>
      <c r="S15" s="31" t="s">
        <v>1</v>
      </c>
      <c r="T15" s="31">
        <f>P15/N15*R15</f>
        <v>8.0200016548932246E-2</v>
      </c>
      <c r="U15" s="31">
        <f>R15/60*1000</f>
        <v>91.70812587269252</v>
      </c>
      <c r="V15" s="31" t="s">
        <v>1</v>
      </c>
      <c r="W15" s="31">
        <f>T15/R15*U15</f>
        <v>1.3366669424822042</v>
      </c>
      <c r="X15" s="31">
        <v>3225</v>
      </c>
    </row>
    <row r="16" spans="1:25" s="33" customFormat="1" x14ac:dyDescent="0.25">
      <c r="B16" s="33" t="s">
        <v>46</v>
      </c>
      <c r="G16" s="33">
        <f>G10</f>
        <v>4316.8166666666666</v>
      </c>
      <c r="H16" s="33">
        <f>H10</f>
        <v>1.0799999999999998</v>
      </c>
      <c r="I16" s="33">
        <v>5.0000000000000001E-3</v>
      </c>
      <c r="J16" s="33">
        <f>J11+J12+J13</f>
        <v>7.9000000000000001E-2</v>
      </c>
      <c r="K16" s="33">
        <f>K11+K12+K13</f>
        <v>2363</v>
      </c>
      <c r="L16" s="33">
        <f>L11+L12+L13</f>
        <v>421</v>
      </c>
      <c r="M16" s="33">
        <f t="shared" ref="M16" si="10">M11+M12+M13</f>
        <v>424</v>
      </c>
      <c r="N16" s="33">
        <f>N11+N12+N13</f>
        <v>1940.5</v>
      </c>
      <c r="O16" s="33" t="s">
        <v>1</v>
      </c>
      <c r="P16" s="33">
        <f t="shared" si="1"/>
        <v>52.777836257277542</v>
      </c>
      <c r="Q16" s="33">
        <f t="shared" si="2"/>
        <v>0.44952105911377599</v>
      </c>
      <c r="R16" s="33">
        <f>(Q16/H16/J16)</f>
        <v>5.2686481377610885</v>
      </c>
      <c r="S16" s="33" t="s">
        <v>1</v>
      </c>
      <c r="T16" s="33">
        <f t="shared" si="7"/>
        <v>0.14329701041585416</v>
      </c>
      <c r="U16" s="33">
        <f t="shared" si="8"/>
        <v>87.810802296018153</v>
      </c>
      <c r="V16" s="33" t="s">
        <v>1</v>
      </c>
      <c r="W16" s="33">
        <f t="shared" si="9"/>
        <v>2.388283506930903</v>
      </c>
      <c r="X16" s="33">
        <v>3225</v>
      </c>
    </row>
    <row r="18" spans="1:7" x14ac:dyDescent="0.25">
      <c r="A18" t="s">
        <v>273</v>
      </c>
      <c r="B18" t="s">
        <v>274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275</v>
      </c>
      <c r="D21" t="s">
        <v>276</v>
      </c>
      <c r="E21">
        <v>737</v>
      </c>
      <c r="F21" t="s">
        <v>277</v>
      </c>
      <c r="G21">
        <v>105.51</v>
      </c>
    </row>
    <row r="22" spans="1:7" x14ac:dyDescent="0.25">
      <c r="A22" t="s">
        <v>62</v>
      </c>
      <c r="B22" t="s">
        <v>107</v>
      </c>
      <c r="C22">
        <v>846</v>
      </c>
      <c r="D22">
        <v>572</v>
      </c>
      <c r="E22">
        <v>602</v>
      </c>
      <c r="F22">
        <v>324</v>
      </c>
      <c r="G22">
        <v>29.09</v>
      </c>
    </row>
    <row r="23" spans="1:7" x14ac:dyDescent="0.25">
      <c r="A23" t="s">
        <v>64</v>
      </c>
      <c r="B23" t="s">
        <v>65</v>
      </c>
      <c r="C23" t="s">
        <v>278</v>
      </c>
      <c r="D23">
        <v>240</v>
      </c>
      <c r="E23">
        <v>205</v>
      </c>
      <c r="F23" t="s">
        <v>279</v>
      </c>
      <c r="G23">
        <v>68.36</v>
      </c>
    </row>
    <row r="24" spans="1:7" x14ac:dyDescent="0.25">
      <c r="A24" t="s">
        <v>64</v>
      </c>
      <c r="B24" t="s">
        <v>68</v>
      </c>
      <c r="C24" t="s">
        <v>280</v>
      </c>
      <c r="D24">
        <v>290</v>
      </c>
      <c r="E24">
        <v>205</v>
      </c>
      <c r="F24" t="s">
        <v>281</v>
      </c>
      <c r="G24">
        <v>87.57</v>
      </c>
    </row>
    <row r="25" spans="1:7" x14ac:dyDescent="0.25">
      <c r="A25" t="s">
        <v>71</v>
      </c>
      <c r="B25" t="s">
        <v>72</v>
      </c>
      <c r="C25" t="s">
        <v>282</v>
      </c>
      <c r="D25">
        <v>166</v>
      </c>
      <c r="E25">
        <v>162</v>
      </c>
      <c r="F25" t="s">
        <v>283</v>
      </c>
      <c r="G25">
        <v>51.62</v>
      </c>
    </row>
    <row r="26" spans="1:7" x14ac:dyDescent="0.25">
      <c r="A26" t="s">
        <v>73</v>
      </c>
      <c r="B26" t="s">
        <v>74</v>
      </c>
      <c r="C26" t="s">
        <v>284</v>
      </c>
      <c r="D26">
        <v>185</v>
      </c>
      <c r="E26">
        <v>155</v>
      </c>
      <c r="F26" t="s">
        <v>285</v>
      </c>
      <c r="G26">
        <v>102.25</v>
      </c>
    </row>
    <row r="27" spans="1:7" x14ac:dyDescent="0.25">
      <c r="A27" t="s">
        <v>77</v>
      </c>
      <c r="B27" t="s">
        <v>78</v>
      </c>
      <c r="C27" t="s">
        <v>286</v>
      </c>
      <c r="D27">
        <v>72</v>
      </c>
      <c r="E27">
        <v>67</v>
      </c>
      <c r="F27" t="s">
        <v>287</v>
      </c>
      <c r="G27">
        <v>56.94</v>
      </c>
    </row>
    <row r="28" spans="1:7" x14ac:dyDescent="0.25">
      <c r="A28" t="s">
        <v>71</v>
      </c>
      <c r="B28" t="s">
        <v>81</v>
      </c>
      <c r="C28">
        <v>401</v>
      </c>
      <c r="D28">
        <v>94</v>
      </c>
      <c r="E28">
        <v>85</v>
      </c>
      <c r="F28">
        <v>315</v>
      </c>
      <c r="G28">
        <v>20.02</v>
      </c>
    </row>
    <row r="29" spans="1:7" x14ac:dyDescent="0.25">
      <c r="A29" t="s">
        <v>82</v>
      </c>
      <c r="B29" t="s">
        <v>83</v>
      </c>
      <c r="C29">
        <v>26</v>
      </c>
      <c r="D29">
        <v>60</v>
      </c>
      <c r="E29">
        <v>41</v>
      </c>
      <c r="F29">
        <v>-22</v>
      </c>
      <c r="G29">
        <v>5.0999999999999996</v>
      </c>
    </row>
    <row r="30" spans="1:7" x14ac:dyDescent="0.25">
      <c r="A30" t="s">
        <v>84</v>
      </c>
      <c r="B30" t="s">
        <v>85</v>
      </c>
      <c r="C30" t="s">
        <v>288</v>
      </c>
      <c r="D30">
        <v>827</v>
      </c>
      <c r="E30">
        <v>813</v>
      </c>
      <c r="F30" t="s">
        <v>289</v>
      </c>
      <c r="G30">
        <v>84.83</v>
      </c>
    </row>
    <row r="31" spans="1:7" x14ac:dyDescent="0.25">
      <c r="A31" t="s">
        <v>88</v>
      </c>
      <c r="B31" t="s">
        <v>89</v>
      </c>
      <c r="C31" t="s">
        <v>290</v>
      </c>
      <c r="D31">
        <v>419</v>
      </c>
      <c r="E31">
        <v>303</v>
      </c>
      <c r="F31" t="s">
        <v>291</v>
      </c>
      <c r="G31">
        <v>77.05</v>
      </c>
    </row>
    <row r="32" spans="1:7" x14ac:dyDescent="0.25">
      <c r="A32" t="s">
        <v>92</v>
      </c>
      <c r="B32" t="s">
        <v>93</v>
      </c>
      <c r="C32" t="s">
        <v>292</v>
      </c>
      <c r="D32">
        <v>368</v>
      </c>
      <c r="E32">
        <v>304</v>
      </c>
      <c r="F32" t="s">
        <v>293</v>
      </c>
      <c r="G32">
        <v>72.53</v>
      </c>
    </row>
    <row r="33" spans="1:7" x14ac:dyDescent="0.25">
      <c r="A33" t="s">
        <v>96</v>
      </c>
      <c r="B33" t="s">
        <v>97</v>
      </c>
      <c r="C33">
        <v>729</v>
      </c>
      <c r="D33">
        <v>134</v>
      </c>
      <c r="E33">
        <v>141</v>
      </c>
      <c r="F33">
        <v>600</v>
      </c>
      <c r="G33">
        <v>27</v>
      </c>
    </row>
    <row r="34" spans="1:7" x14ac:dyDescent="0.25">
      <c r="A34" t="s">
        <v>82</v>
      </c>
      <c r="B34" t="s">
        <v>98</v>
      </c>
      <c r="C34">
        <v>955</v>
      </c>
      <c r="D34">
        <v>207</v>
      </c>
      <c r="E34">
        <v>205</v>
      </c>
      <c r="F34">
        <v>767</v>
      </c>
      <c r="G34">
        <v>30.9</v>
      </c>
    </row>
    <row r="35" spans="1:7" x14ac:dyDescent="0.25">
      <c r="A35" t="s">
        <v>82</v>
      </c>
      <c r="B35" t="s">
        <v>99</v>
      </c>
      <c r="C35">
        <v>874</v>
      </c>
      <c r="D35">
        <v>121</v>
      </c>
      <c r="E35">
        <v>122</v>
      </c>
      <c r="F35">
        <v>758</v>
      </c>
      <c r="G35">
        <v>29.56</v>
      </c>
    </row>
    <row r="36" spans="1:7" x14ac:dyDescent="0.25">
      <c r="A36" t="s">
        <v>82</v>
      </c>
      <c r="B36" t="s">
        <v>100</v>
      </c>
      <c r="C36">
        <v>534</v>
      </c>
      <c r="D36">
        <v>93</v>
      </c>
      <c r="E36">
        <v>97</v>
      </c>
      <c r="F36">
        <v>444</v>
      </c>
      <c r="G36">
        <v>23.11</v>
      </c>
    </row>
    <row r="37" spans="1:7" x14ac:dyDescent="0.25">
      <c r="A37" t="s">
        <v>101</v>
      </c>
      <c r="B37" t="s">
        <v>102</v>
      </c>
      <c r="C37" t="s">
        <v>294</v>
      </c>
      <c r="D37">
        <v>445</v>
      </c>
      <c r="E37">
        <v>402</v>
      </c>
      <c r="F37">
        <v>993</v>
      </c>
      <c r="G37">
        <v>38.57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>
      <selection activeCell="V25" sqref="V25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334375/60</f>
        <v>5572.916666666667</v>
      </c>
      <c r="H2" s="20">
        <f>2.95-1.79</f>
        <v>1.1600000000000001</v>
      </c>
      <c r="I2" s="20">
        <v>0</v>
      </c>
      <c r="J2" s="20">
        <v>2.1399999999999999E-2</v>
      </c>
      <c r="K2" s="20">
        <v>16511</v>
      </c>
      <c r="L2" s="20">
        <v>1358</v>
      </c>
      <c r="M2" s="20">
        <v>1080</v>
      </c>
      <c r="N2" s="20">
        <f t="shared" ref="N2:N13" si="0">K2-(L2+M2)/2</f>
        <v>15292</v>
      </c>
      <c r="O2" s="20" t="s">
        <v>1</v>
      </c>
      <c r="P2" s="20">
        <f t="shared" ref="P2:P16" si="1">SQRT((K2+(L2+M2)/2))</f>
        <v>133.15404612703287</v>
      </c>
      <c r="Q2" s="20">
        <f t="shared" ref="Q2:Q16" si="2">N2/G2</f>
        <v>2.7439850467289717</v>
      </c>
      <c r="R2" s="20">
        <f>(Q2/H2/J2)</f>
        <v>110.53758647796373</v>
      </c>
      <c r="S2" s="20" t="s">
        <v>1</v>
      </c>
      <c r="T2" s="20">
        <f>P2/N2*R2</f>
        <v>0.96249848866450871</v>
      </c>
      <c r="U2" s="20">
        <f>R2/60*1000</f>
        <v>1842.2931079660621</v>
      </c>
      <c r="V2" s="20" t="s">
        <v>1</v>
      </c>
      <c r="W2" s="20">
        <f>T2/R2*U2</f>
        <v>16.041641477741813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5572.916666666667</v>
      </c>
      <c r="H3" s="21">
        <f>H2</f>
        <v>1.1600000000000001</v>
      </c>
      <c r="I3" s="21">
        <v>0</v>
      </c>
      <c r="J3" s="21">
        <v>0.26</v>
      </c>
      <c r="K3" s="21">
        <v>1263</v>
      </c>
      <c r="L3" s="21">
        <v>815</v>
      </c>
      <c r="M3" s="21">
        <v>843</v>
      </c>
      <c r="N3" s="21">
        <f t="shared" si="0"/>
        <v>434</v>
      </c>
      <c r="O3" s="21" t="s">
        <v>1</v>
      </c>
      <c r="P3" s="21">
        <f t="shared" si="1"/>
        <v>45.738386504117088</v>
      </c>
      <c r="Q3" s="21">
        <f t="shared" si="2"/>
        <v>7.7876635514018688E-2</v>
      </c>
      <c r="R3" s="21">
        <f>Q3/H3/J3</f>
        <v>0.25821165621358977</v>
      </c>
      <c r="S3" s="21" t="s">
        <v>1</v>
      </c>
      <c r="T3" s="21">
        <f>P3/N3*R3</f>
        <v>2.721240675521976E-2</v>
      </c>
      <c r="U3" s="21">
        <f>R3/60*1000</f>
        <v>4.3035276035598296</v>
      </c>
      <c r="V3" s="21" t="s">
        <v>1</v>
      </c>
      <c r="W3" s="21">
        <f>T3/R3*U3</f>
        <v>0.453540112586996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5572.916666666667</v>
      </c>
      <c r="H4" s="19">
        <f>H2</f>
        <v>1.1600000000000001</v>
      </c>
      <c r="I4" s="19"/>
      <c r="J4" s="19">
        <v>8.1000000000000003E-2</v>
      </c>
      <c r="K4" s="19">
        <v>6424</v>
      </c>
      <c r="L4" s="19">
        <v>345</v>
      </c>
      <c r="M4" s="19">
        <v>299</v>
      </c>
      <c r="N4" s="19">
        <f t="shared" si="0"/>
        <v>6102</v>
      </c>
      <c r="O4" s="19" t="s">
        <v>1</v>
      </c>
      <c r="P4" s="19">
        <f t="shared" si="1"/>
        <v>82.134036793524274</v>
      </c>
      <c r="Q4" s="19">
        <f t="shared" si="2"/>
        <v>1.0949383177570093</v>
      </c>
      <c r="R4" s="19">
        <f>(Q4/H4/J4)</f>
        <v>11.653238801160166</v>
      </c>
      <c r="S4" s="19" t="s">
        <v>1</v>
      </c>
      <c r="T4" s="19">
        <f t="shared" ref="T4:T6" si="3">P4/N4*R4</f>
        <v>0.15685472704985476</v>
      </c>
      <c r="U4" s="19">
        <f t="shared" ref="U4:U6" si="4">R4/60*1000</f>
        <v>194.22064668600274</v>
      </c>
      <c r="V4" s="19" t="s">
        <v>1</v>
      </c>
      <c r="W4" s="19">
        <f t="shared" ref="W4:W6" si="5">T4/R4*U4</f>
        <v>2.6142454508309121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5572.916666666667</v>
      </c>
      <c r="H5" s="19">
        <f>H2</f>
        <v>1.1600000000000001</v>
      </c>
      <c r="I5" s="19">
        <v>2E-3</v>
      </c>
      <c r="J5" s="19">
        <v>0.13700000000000001</v>
      </c>
      <c r="K5" s="19">
        <v>10519</v>
      </c>
      <c r="L5" s="19">
        <v>351</v>
      </c>
      <c r="M5" s="19">
        <v>304</v>
      </c>
      <c r="N5" s="19">
        <f t="shared" si="0"/>
        <v>10191.5</v>
      </c>
      <c r="O5" s="19" t="s">
        <v>1</v>
      </c>
      <c r="P5" s="19">
        <f t="shared" si="1"/>
        <v>104.14653138727185</v>
      </c>
      <c r="Q5" s="19">
        <f t="shared" si="2"/>
        <v>1.8287551401869158</v>
      </c>
      <c r="R5" s="19">
        <f>(Q5/H5/J5)</f>
        <v>11.507394539308553</v>
      </c>
      <c r="S5" s="19" t="s">
        <v>1</v>
      </c>
      <c r="T5" s="19">
        <f t="shared" si="3"/>
        <v>0.11759360511934641</v>
      </c>
      <c r="U5" s="19">
        <f t="shared" si="4"/>
        <v>191.7899089884759</v>
      </c>
      <c r="V5" s="19" t="s">
        <v>1</v>
      </c>
      <c r="W5" s="19">
        <f t="shared" si="5"/>
        <v>1.9598934186557735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5572.916666666667</v>
      </c>
      <c r="H6" s="19">
        <f>H2</f>
        <v>1.1600000000000001</v>
      </c>
      <c r="I6" s="19">
        <v>2E-3</v>
      </c>
      <c r="J6" s="19">
        <v>4.5999999999999999E-2</v>
      </c>
      <c r="K6" s="19">
        <v>3640</v>
      </c>
      <c r="L6" s="19">
        <v>202</v>
      </c>
      <c r="M6" s="19">
        <v>200</v>
      </c>
      <c r="N6" s="19">
        <f t="shared" si="0"/>
        <v>3439</v>
      </c>
      <c r="O6" s="19" t="s">
        <v>1</v>
      </c>
      <c r="P6" s="19">
        <f t="shared" si="1"/>
        <v>61.975801729384671</v>
      </c>
      <c r="Q6" s="19">
        <f t="shared" si="2"/>
        <v>0.61709158878504666</v>
      </c>
      <c r="R6" s="19">
        <f>(Q6/H6/J6)</f>
        <v>11.564684947246</v>
      </c>
      <c r="S6" s="19" t="s">
        <v>1</v>
      </c>
      <c r="T6" s="19">
        <f t="shared" si="3"/>
        <v>0.2084125098439423</v>
      </c>
      <c r="U6" s="19">
        <f t="shared" si="4"/>
        <v>192.74474912076667</v>
      </c>
      <c r="V6" s="19" t="s">
        <v>1</v>
      </c>
      <c r="W6" s="19">
        <f t="shared" si="5"/>
        <v>3.4735418307323718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5572.916666666667</v>
      </c>
      <c r="H7" s="23">
        <f>H2</f>
        <v>1.1600000000000001</v>
      </c>
      <c r="I7" s="23">
        <v>1E-3</v>
      </c>
      <c r="J7" s="23">
        <v>0.247</v>
      </c>
      <c r="K7" s="23">
        <v>16605</v>
      </c>
      <c r="L7" s="23">
        <v>269</v>
      </c>
      <c r="M7" s="23">
        <v>206</v>
      </c>
      <c r="N7" s="23">
        <f t="shared" si="0"/>
        <v>16367.5</v>
      </c>
      <c r="O7" s="23" t="s">
        <v>1</v>
      </c>
      <c r="P7" s="23">
        <f t="shared" si="1"/>
        <v>129.77865772152214</v>
      </c>
      <c r="Q7" s="23">
        <f t="shared" si="2"/>
        <v>2.9369719626168225</v>
      </c>
      <c r="R7" s="23">
        <f>Q7/H7/J7</f>
        <v>10.250495471928041</v>
      </c>
      <c r="S7" s="23" t="s">
        <v>1</v>
      </c>
      <c r="T7" s="23">
        <f>P7/N7*R7</f>
        <v>8.1276648439123966E-2</v>
      </c>
      <c r="U7" s="23">
        <f>R7/60*1000</f>
        <v>170.84159119880067</v>
      </c>
      <c r="V7" s="23" t="s">
        <v>1</v>
      </c>
      <c r="W7" s="23">
        <f>T7/R7*U7</f>
        <v>1.3546108073187328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5572.916666666667</v>
      </c>
      <c r="H8" s="25">
        <f>H2</f>
        <v>1.1600000000000001</v>
      </c>
      <c r="I8" s="25">
        <v>4.0000000000000001E-3</v>
      </c>
      <c r="J8" s="25">
        <v>1.55E-2</v>
      </c>
      <c r="K8" s="25">
        <v>4394</v>
      </c>
      <c r="L8" s="25">
        <v>89</v>
      </c>
      <c r="M8" s="25">
        <v>97</v>
      </c>
      <c r="N8" s="25">
        <f t="shared" si="0"/>
        <v>4301</v>
      </c>
      <c r="O8" s="25" t="s">
        <v>1</v>
      </c>
      <c r="P8" s="25">
        <f t="shared" si="1"/>
        <v>66.985072964056698</v>
      </c>
      <c r="Q8" s="25">
        <f t="shared" si="2"/>
        <v>0.77176822429906533</v>
      </c>
      <c r="R8" s="25">
        <f>Q8/H8/J8</f>
        <v>42.923705467133772</v>
      </c>
      <c r="S8" s="25" t="s">
        <v>1</v>
      </c>
      <c r="T8" s="25">
        <f>P8/N8*R8</f>
        <v>0.66850675252351432</v>
      </c>
      <c r="U8" s="25">
        <f>R8/60*1000</f>
        <v>715.39509111889618</v>
      </c>
      <c r="V8" s="25" t="s">
        <v>1</v>
      </c>
      <c r="W8" s="25">
        <f>T8/R8*U8</f>
        <v>11.141779208725238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5572.916666666667</v>
      </c>
      <c r="H9" s="30">
        <f>H2</f>
        <v>1.1600000000000001</v>
      </c>
      <c r="J9" s="30">
        <v>0.19</v>
      </c>
      <c r="K9" s="30">
        <v>7387</v>
      </c>
      <c r="L9" s="30">
        <v>572</v>
      </c>
      <c r="M9" s="30">
        <v>478</v>
      </c>
      <c r="N9" s="30">
        <f t="shared" si="0"/>
        <v>6862</v>
      </c>
      <c r="P9" s="30">
        <f t="shared" si="1"/>
        <v>88.949423831748348</v>
      </c>
      <c r="Q9" s="30">
        <f t="shared" si="2"/>
        <v>1.2313121495327102</v>
      </c>
      <c r="R9" s="30">
        <f t="shared" ref="R9:R13" si="6">Q9/H9/J9</f>
        <v>5.5867157419814433</v>
      </c>
      <c r="S9" s="30" t="s">
        <v>1</v>
      </c>
      <c r="T9" s="30">
        <f t="shared" ref="T9:T16" si="7">P9/N9*R9</f>
        <v>7.2418412468814891E-2</v>
      </c>
      <c r="U9" s="30">
        <f t="shared" ref="U9:U16" si="8">R9/60*1000</f>
        <v>93.111929033024055</v>
      </c>
      <c r="V9" s="30" t="s">
        <v>1</v>
      </c>
      <c r="W9" s="30">
        <f t="shared" ref="W9:W16" si="9">T9/R9*U9</f>
        <v>1.2069735411469147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5572.916666666667</v>
      </c>
      <c r="H10" s="30">
        <f>H2</f>
        <v>1.1600000000000001</v>
      </c>
      <c r="J10" s="30">
        <v>2.5000000000000001E-2</v>
      </c>
      <c r="K10" s="30">
        <v>1039</v>
      </c>
      <c r="L10" s="30">
        <v>188</v>
      </c>
      <c r="M10" s="30">
        <v>170</v>
      </c>
      <c r="N10" s="30">
        <f t="shared" si="0"/>
        <v>860</v>
      </c>
      <c r="P10" s="30">
        <f t="shared" si="1"/>
        <v>34.899856733230294</v>
      </c>
      <c r="Q10" s="30">
        <f t="shared" si="2"/>
        <v>0.15431775700934577</v>
      </c>
      <c r="R10" s="30">
        <f t="shared" si="6"/>
        <v>5.3213019658395089</v>
      </c>
      <c r="S10" s="30" t="s">
        <v>1</v>
      </c>
      <c r="T10" s="30">
        <f t="shared" si="7"/>
        <v>0.21594497237448326</v>
      </c>
      <c r="U10" s="30">
        <f t="shared" si="8"/>
        <v>88.688366097325158</v>
      </c>
      <c r="V10" s="30" t="s">
        <v>1</v>
      </c>
      <c r="W10" s="30">
        <f t="shared" si="9"/>
        <v>3.5990828729080544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5572.916666666667</v>
      </c>
      <c r="H11" s="32">
        <f>H2</f>
        <v>1.1600000000000001</v>
      </c>
      <c r="J11" s="32">
        <v>3.1E-2</v>
      </c>
      <c r="K11" s="32">
        <v>1292</v>
      </c>
      <c r="L11" s="32">
        <v>288</v>
      </c>
      <c r="M11" s="32">
        <v>273</v>
      </c>
      <c r="N11" s="32">
        <f t="shared" si="0"/>
        <v>1011.5</v>
      </c>
      <c r="P11" s="32">
        <f t="shared" si="1"/>
        <v>39.654760117796705</v>
      </c>
      <c r="Q11" s="32">
        <f t="shared" si="2"/>
        <v>0.18150280373831776</v>
      </c>
      <c r="R11" s="32">
        <f t="shared" si="6"/>
        <v>5.0473527179732409</v>
      </c>
      <c r="S11" s="32" t="s">
        <v>1</v>
      </c>
      <c r="T11" s="32">
        <f t="shared" si="7"/>
        <v>0.19787598740596943</v>
      </c>
      <c r="U11" s="32">
        <f t="shared" si="8"/>
        <v>84.122545299554019</v>
      </c>
      <c r="V11" s="32" t="s">
        <v>1</v>
      </c>
      <c r="W11" s="32">
        <f t="shared" si="9"/>
        <v>3.297933123432824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5572.916666666667</v>
      </c>
      <c r="H12" s="32">
        <f>H2</f>
        <v>1.1600000000000001</v>
      </c>
      <c r="J12" s="32">
        <v>0.03</v>
      </c>
      <c r="K12" s="32">
        <v>1155</v>
      </c>
      <c r="L12" s="32">
        <v>142</v>
      </c>
      <c r="M12" s="32">
        <v>159</v>
      </c>
      <c r="N12" s="32">
        <f t="shared" si="0"/>
        <v>1004.5</v>
      </c>
      <c r="P12" s="32">
        <f t="shared" si="1"/>
        <v>36.131703530279331</v>
      </c>
      <c r="Q12" s="32">
        <f t="shared" si="2"/>
        <v>0.18024672897196262</v>
      </c>
      <c r="R12" s="32">
        <f t="shared" si="6"/>
        <v>5.1795037060908795</v>
      </c>
      <c r="S12" s="32" t="s">
        <v>1</v>
      </c>
      <c r="T12" s="32">
        <f t="shared" si="7"/>
        <v>0.18630591572171101</v>
      </c>
      <c r="U12" s="32">
        <f t="shared" si="8"/>
        <v>86.325061768181314</v>
      </c>
      <c r="V12" s="32" t="s">
        <v>1</v>
      </c>
      <c r="W12" s="32">
        <f t="shared" si="9"/>
        <v>3.10509859536185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5572.916666666667</v>
      </c>
      <c r="H13" s="32">
        <f>H2</f>
        <v>1.1600000000000001</v>
      </c>
      <c r="J13" s="32">
        <v>1.7999999999999999E-2</v>
      </c>
      <c r="K13" s="32">
        <v>764</v>
      </c>
      <c r="L13" s="32">
        <v>137</v>
      </c>
      <c r="M13" s="32">
        <v>140</v>
      </c>
      <c r="N13" s="32">
        <f t="shared" si="0"/>
        <v>625.5</v>
      </c>
      <c r="P13" s="32">
        <f t="shared" si="1"/>
        <v>30.041637771599603</v>
      </c>
      <c r="Q13" s="32">
        <f t="shared" si="2"/>
        <v>0.11223925233644859</v>
      </c>
      <c r="R13" s="32">
        <f t="shared" si="6"/>
        <v>5.3754431195617141</v>
      </c>
      <c r="S13" s="32" t="s">
        <v>1</v>
      </c>
      <c r="T13" s="32">
        <f t="shared" si="7"/>
        <v>0.2581728458188815</v>
      </c>
      <c r="U13" s="32">
        <f t="shared" si="8"/>
        <v>89.590718659361897</v>
      </c>
      <c r="V13" s="32" t="s">
        <v>1</v>
      </c>
      <c r="W13" s="32">
        <f t="shared" si="9"/>
        <v>4.3028807636480249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5572.916666666667</v>
      </c>
      <c r="H14" s="22">
        <f>H2</f>
        <v>1.1600000000000001</v>
      </c>
      <c r="I14" s="22">
        <v>5.0000000000000001E-3</v>
      </c>
      <c r="J14" s="22">
        <f>J4+J5+J6</f>
        <v>0.26400000000000001</v>
      </c>
      <c r="K14" s="22">
        <f>K4+K5+K6</f>
        <v>20583</v>
      </c>
      <c r="L14" s="22">
        <f>L4+L5+L6</f>
        <v>898</v>
      </c>
      <c r="M14" s="22">
        <f>M4+M5+M6</f>
        <v>803</v>
      </c>
      <c r="N14" s="22">
        <f>N4+N5+N6</f>
        <v>19732.5</v>
      </c>
      <c r="O14" s="22" t="s">
        <v>1</v>
      </c>
      <c r="P14" s="22">
        <f>SQRT((K14+(L14+M14)/2))</f>
        <v>146.40184425067875</v>
      </c>
      <c r="Q14" s="22">
        <f>N14/G14</f>
        <v>3.5407850467289719</v>
      </c>
      <c r="R14" s="22">
        <f>(Q14/H14/J14)</f>
        <v>11.562124630123339</v>
      </c>
      <c r="S14" s="22" t="s">
        <v>1</v>
      </c>
      <c r="T14" s="22">
        <f>P14/N14*R14</f>
        <v>8.5783168341885402E-2</v>
      </c>
      <c r="U14" s="22">
        <f>R14/60*1000</f>
        <v>192.70207716872233</v>
      </c>
      <c r="V14" s="22" t="s">
        <v>1</v>
      </c>
      <c r="W14" s="22">
        <f>T14/R14*U14</f>
        <v>1.4297194723647568</v>
      </c>
      <c r="X14" s="22"/>
    </row>
    <row r="15" spans="1:25" s="31" customFormat="1" x14ac:dyDescent="0.25">
      <c r="B15" s="31" t="s">
        <v>44</v>
      </c>
      <c r="G15" s="31">
        <f>G14</f>
        <v>5572.916666666667</v>
      </c>
      <c r="H15" s="31">
        <f>H14</f>
        <v>1.1600000000000001</v>
      </c>
      <c r="I15" s="31">
        <v>5.0000000000000001E-3</v>
      </c>
      <c r="J15" s="31">
        <f>J9+J10</f>
        <v>0.215</v>
      </c>
      <c r="K15" s="31">
        <f>K9+K10</f>
        <v>8426</v>
      </c>
      <c r="L15" s="31">
        <f>L9+L10</f>
        <v>760</v>
      </c>
      <c r="M15" s="31">
        <f>M9+M10</f>
        <v>648</v>
      </c>
      <c r="N15" s="31">
        <f>N9+N10</f>
        <v>7722</v>
      </c>
      <c r="O15" s="31" t="s">
        <v>1</v>
      </c>
      <c r="P15" s="31">
        <f>SQRT((K15+(L15+M15)/2))</f>
        <v>95.551033484730027</v>
      </c>
      <c r="Q15" s="31">
        <f>N15/G15</f>
        <v>1.3856299065420561</v>
      </c>
      <c r="R15" s="31">
        <f>(Q15/H15/J15)</f>
        <v>5.555853674988195</v>
      </c>
      <c r="S15" s="31" t="s">
        <v>1</v>
      </c>
      <c r="T15" s="31">
        <f>P15/N15*R15</f>
        <v>6.8747417836707778E-2</v>
      </c>
      <c r="U15" s="31">
        <f>R15/60*1000</f>
        <v>92.597561249803263</v>
      </c>
      <c r="V15" s="31" t="s">
        <v>1</v>
      </c>
      <c r="W15" s="31">
        <f>T15/R15*U15</f>
        <v>1.145790297278463</v>
      </c>
      <c r="X15" s="31">
        <v>3225</v>
      </c>
    </row>
    <row r="16" spans="1:25" s="33" customFormat="1" x14ac:dyDescent="0.25">
      <c r="B16" s="33" t="s">
        <v>46</v>
      </c>
      <c r="G16" s="33">
        <f>G10</f>
        <v>5572.916666666667</v>
      </c>
      <c r="H16" s="33">
        <f>H10</f>
        <v>1.1600000000000001</v>
      </c>
      <c r="I16" s="33">
        <v>5.0000000000000001E-3</v>
      </c>
      <c r="J16" s="33">
        <f>J11+J12+J13</f>
        <v>7.9000000000000001E-2</v>
      </c>
      <c r="K16" s="33">
        <f>K11+K12+K13</f>
        <v>3211</v>
      </c>
      <c r="L16" s="33">
        <f>L11+L12+L13</f>
        <v>567</v>
      </c>
      <c r="M16" s="33">
        <f t="shared" ref="M16" si="10">M11+M12+M13</f>
        <v>572</v>
      </c>
      <c r="N16" s="33">
        <f>N11+N12+N13</f>
        <v>2641.5</v>
      </c>
      <c r="O16" s="33" t="s">
        <v>1</v>
      </c>
      <c r="P16" s="33">
        <f t="shared" si="1"/>
        <v>61.485770711604488</v>
      </c>
      <c r="Q16" s="33">
        <f t="shared" si="2"/>
        <v>0.47398878504672892</v>
      </c>
      <c r="R16" s="33">
        <f>(Q16/H16/J16)</f>
        <v>5.1722914125570583</v>
      </c>
      <c r="S16" s="33" t="s">
        <v>1</v>
      </c>
      <c r="T16" s="33">
        <f t="shared" si="7"/>
        <v>0.12039459543671556</v>
      </c>
      <c r="U16" s="33">
        <f t="shared" si="8"/>
        <v>86.204856875950981</v>
      </c>
      <c r="V16" s="33" t="s">
        <v>1</v>
      </c>
      <c r="W16" s="33">
        <f t="shared" si="9"/>
        <v>2.0065765906119264</v>
      </c>
      <c r="X16" s="33">
        <v>3225</v>
      </c>
    </row>
    <row r="18" spans="1:7" x14ac:dyDescent="0.25">
      <c r="A18" t="s">
        <v>154</v>
      </c>
      <c r="B18" t="s">
        <v>155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156</v>
      </c>
      <c r="D21" t="s">
        <v>157</v>
      </c>
      <c r="E21" t="s">
        <v>158</v>
      </c>
      <c r="F21" t="s">
        <v>159</v>
      </c>
      <c r="G21">
        <v>128.5</v>
      </c>
    </row>
    <row r="22" spans="1:7" x14ac:dyDescent="0.25">
      <c r="A22" t="s">
        <v>62</v>
      </c>
      <c r="B22" t="s">
        <v>107</v>
      </c>
      <c r="C22" t="s">
        <v>160</v>
      </c>
      <c r="D22">
        <v>815</v>
      </c>
      <c r="E22">
        <v>843</v>
      </c>
      <c r="F22">
        <v>526</v>
      </c>
      <c r="G22">
        <v>35.54</v>
      </c>
    </row>
    <row r="23" spans="1:7" x14ac:dyDescent="0.25">
      <c r="A23" t="s">
        <v>64</v>
      </c>
      <c r="B23" t="s">
        <v>65</v>
      </c>
      <c r="C23" t="s">
        <v>161</v>
      </c>
      <c r="D23">
        <v>345</v>
      </c>
      <c r="E23">
        <v>299</v>
      </c>
      <c r="F23" t="s">
        <v>162</v>
      </c>
      <c r="G23">
        <v>80.150000000000006</v>
      </c>
    </row>
    <row r="24" spans="1:7" x14ac:dyDescent="0.25">
      <c r="A24" t="s">
        <v>64</v>
      </c>
      <c r="B24" t="s">
        <v>68</v>
      </c>
      <c r="C24" t="s">
        <v>163</v>
      </c>
      <c r="D24">
        <v>351</v>
      </c>
      <c r="E24">
        <v>304</v>
      </c>
      <c r="F24" t="s">
        <v>164</v>
      </c>
      <c r="G24">
        <v>102.56</v>
      </c>
    </row>
    <row r="25" spans="1:7" x14ac:dyDescent="0.25">
      <c r="A25" t="s">
        <v>71</v>
      </c>
      <c r="B25" t="s">
        <v>72</v>
      </c>
      <c r="C25" t="s">
        <v>165</v>
      </c>
      <c r="D25">
        <v>202</v>
      </c>
      <c r="E25">
        <v>200</v>
      </c>
      <c r="F25" t="s">
        <v>166</v>
      </c>
      <c r="G25">
        <v>60.33</v>
      </c>
    </row>
    <row r="26" spans="1:7" x14ac:dyDescent="0.25">
      <c r="A26" t="s">
        <v>73</v>
      </c>
      <c r="B26" t="s">
        <v>74</v>
      </c>
      <c r="C26" t="s">
        <v>167</v>
      </c>
      <c r="D26">
        <v>269</v>
      </c>
      <c r="E26">
        <v>206</v>
      </c>
      <c r="F26" t="s">
        <v>168</v>
      </c>
      <c r="G26">
        <v>128.86000000000001</v>
      </c>
    </row>
    <row r="27" spans="1:7" x14ac:dyDescent="0.25">
      <c r="A27" t="s">
        <v>77</v>
      </c>
      <c r="B27" t="s">
        <v>78</v>
      </c>
      <c r="C27" t="s">
        <v>169</v>
      </c>
      <c r="D27">
        <v>89</v>
      </c>
      <c r="E27">
        <v>97</v>
      </c>
      <c r="F27" t="s">
        <v>170</v>
      </c>
      <c r="G27">
        <v>66.290000000000006</v>
      </c>
    </row>
    <row r="28" spans="1:7" x14ac:dyDescent="0.25">
      <c r="A28" t="s">
        <v>71</v>
      </c>
      <c r="B28" t="s">
        <v>81</v>
      </c>
      <c r="C28">
        <v>594</v>
      </c>
      <c r="D28">
        <v>135</v>
      </c>
      <c r="E28">
        <v>151</v>
      </c>
      <c r="F28">
        <v>457</v>
      </c>
      <c r="G28">
        <v>24.37</v>
      </c>
    </row>
    <row r="29" spans="1:7" x14ac:dyDescent="0.25">
      <c r="A29" t="s">
        <v>82</v>
      </c>
      <c r="B29" t="s">
        <v>83</v>
      </c>
      <c r="C29">
        <v>24</v>
      </c>
      <c r="D29">
        <v>74</v>
      </c>
      <c r="E29">
        <v>33</v>
      </c>
      <c r="F29">
        <v>-27</v>
      </c>
      <c r="G29">
        <v>4.9000000000000004</v>
      </c>
    </row>
    <row r="30" spans="1:7" x14ac:dyDescent="0.25">
      <c r="A30" t="s">
        <v>84</v>
      </c>
      <c r="B30" t="s">
        <v>85</v>
      </c>
      <c r="C30" t="s">
        <v>171</v>
      </c>
      <c r="D30" t="s">
        <v>172</v>
      </c>
      <c r="E30" t="s">
        <v>173</v>
      </c>
      <c r="F30" t="s">
        <v>174</v>
      </c>
      <c r="G30">
        <v>100.31</v>
      </c>
    </row>
    <row r="31" spans="1:7" x14ac:dyDescent="0.25">
      <c r="A31" t="s">
        <v>88</v>
      </c>
      <c r="B31" t="s">
        <v>89</v>
      </c>
      <c r="C31" t="s">
        <v>175</v>
      </c>
      <c r="D31">
        <v>587</v>
      </c>
      <c r="E31">
        <v>507</v>
      </c>
      <c r="F31" t="s">
        <v>176</v>
      </c>
      <c r="G31">
        <v>90.78</v>
      </c>
    </row>
    <row r="32" spans="1:7" x14ac:dyDescent="0.25">
      <c r="A32" t="s">
        <v>92</v>
      </c>
      <c r="B32" t="s">
        <v>93</v>
      </c>
      <c r="C32" t="s">
        <v>177</v>
      </c>
      <c r="D32">
        <v>572</v>
      </c>
      <c r="E32">
        <v>478</v>
      </c>
      <c r="F32" t="s">
        <v>178</v>
      </c>
      <c r="G32">
        <v>85.95</v>
      </c>
    </row>
    <row r="33" spans="1:7" x14ac:dyDescent="0.25">
      <c r="A33" t="s">
        <v>96</v>
      </c>
      <c r="B33" t="s">
        <v>97</v>
      </c>
      <c r="C33" t="s">
        <v>179</v>
      </c>
      <c r="D33">
        <v>188</v>
      </c>
      <c r="E33">
        <v>170</v>
      </c>
      <c r="F33">
        <v>871</v>
      </c>
      <c r="G33">
        <v>32.229999999999997</v>
      </c>
    </row>
    <row r="34" spans="1:7" x14ac:dyDescent="0.25">
      <c r="A34" t="s">
        <v>82</v>
      </c>
      <c r="B34" t="s">
        <v>98</v>
      </c>
      <c r="C34" t="s">
        <v>180</v>
      </c>
      <c r="D34">
        <v>288</v>
      </c>
      <c r="E34">
        <v>273</v>
      </c>
      <c r="F34" t="s">
        <v>181</v>
      </c>
      <c r="G34">
        <v>35.94</v>
      </c>
    </row>
    <row r="35" spans="1:7" x14ac:dyDescent="0.25">
      <c r="A35" t="s">
        <v>82</v>
      </c>
      <c r="B35" t="s">
        <v>99</v>
      </c>
      <c r="C35" t="s">
        <v>182</v>
      </c>
      <c r="D35">
        <v>142</v>
      </c>
      <c r="E35">
        <v>159</v>
      </c>
      <c r="F35" t="s">
        <v>183</v>
      </c>
      <c r="G35">
        <v>33.99</v>
      </c>
    </row>
    <row r="36" spans="1:7" x14ac:dyDescent="0.25">
      <c r="A36" t="s">
        <v>82</v>
      </c>
      <c r="B36" t="s">
        <v>100</v>
      </c>
      <c r="C36">
        <v>764</v>
      </c>
      <c r="D36">
        <v>137</v>
      </c>
      <c r="E36">
        <v>140</v>
      </c>
      <c r="F36">
        <v>632</v>
      </c>
      <c r="G36">
        <v>27.64</v>
      </c>
    </row>
    <row r="37" spans="1:7" x14ac:dyDescent="0.25">
      <c r="A37" t="s">
        <v>101</v>
      </c>
      <c r="B37" t="s">
        <v>102</v>
      </c>
      <c r="C37" t="s">
        <v>184</v>
      </c>
      <c r="D37">
        <v>601</v>
      </c>
      <c r="E37">
        <v>576</v>
      </c>
      <c r="F37" t="s">
        <v>185</v>
      </c>
      <c r="G37">
        <v>46.54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7"/>
  <sheetViews>
    <sheetView workbookViewId="0">
      <selection activeCell="U8" sqref="U8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79498/60</f>
        <v>1324.9666666666667</v>
      </c>
      <c r="H2" s="20">
        <f>2.92-1.77</f>
        <v>1.1499999999999999</v>
      </c>
      <c r="I2" s="20">
        <v>0</v>
      </c>
      <c r="J2" s="20">
        <v>2.1399999999999999E-2</v>
      </c>
      <c r="K2" s="20">
        <v>4202</v>
      </c>
      <c r="L2" s="20">
        <v>330</v>
      </c>
      <c r="M2" s="20">
        <v>251</v>
      </c>
      <c r="N2" s="20">
        <f t="shared" ref="N2:N13" si="0">K2-(L2+M2)/2</f>
        <v>3911.5</v>
      </c>
      <c r="O2" s="20" t="s">
        <v>1</v>
      </c>
      <c r="P2" s="20">
        <f t="shared" ref="P2:P16" si="1">SQRT((K2+(L2+M2)/2))</f>
        <v>67.026114313750881</v>
      </c>
      <c r="Q2" s="20">
        <f t="shared" ref="Q2:Q16" si="2">N2/G2</f>
        <v>2.952149739616091</v>
      </c>
      <c r="R2" s="20">
        <f>(Q2/H2/J2)</f>
        <v>119.95732383649295</v>
      </c>
      <c r="S2" s="20" t="s">
        <v>1</v>
      </c>
      <c r="T2" s="20">
        <f>P2/N2*R2</f>
        <v>2.0555473092768528</v>
      </c>
      <c r="U2" s="20">
        <f>R2/60*1000</f>
        <v>1999.2887306082159</v>
      </c>
      <c r="V2" s="20" t="s">
        <v>1</v>
      </c>
      <c r="W2" s="20">
        <f>T2/R2*U2</f>
        <v>34.259121821280878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1324.9666666666667</v>
      </c>
      <c r="H3" s="21">
        <f>H2</f>
        <v>1.1499999999999999</v>
      </c>
      <c r="I3" s="21">
        <v>0</v>
      </c>
      <c r="J3" s="21">
        <v>0.26</v>
      </c>
      <c r="K3" s="21">
        <v>294</v>
      </c>
      <c r="L3" s="21">
        <v>197</v>
      </c>
      <c r="M3" s="21">
        <v>194</v>
      </c>
      <c r="N3" s="21">
        <f t="shared" si="0"/>
        <v>98.5</v>
      </c>
      <c r="O3" s="21" t="s">
        <v>1</v>
      </c>
      <c r="P3" s="21">
        <f t="shared" si="1"/>
        <v>22.124646889837585</v>
      </c>
      <c r="Q3" s="21">
        <f t="shared" si="2"/>
        <v>7.4341492867745093E-2</v>
      </c>
      <c r="R3" s="21">
        <f>Q3/H3/J3</f>
        <v>0.24863375541051871</v>
      </c>
      <c r="S3" s="21" t="s">
        <v>1</v>
      </c>
      <c r="T3" s="21">
        <f>P3/N3*R3</f>
        <v>5.5847046125400729E-2</v>
      </c>
      <c r="U3" s="21">
        <f>R3/60*1000</f>
        <v>4.1438959235086452</v>
      </c>
      <c r="V3" s="21" t="s">
        <v>1</v>
      </c>
      <c r="W3" s="21">
        <f>T3/R3*U3</f>
        <v>0.93078410209001217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1324.9666666666667</v>
      </c>
      <c r="H4" s="19">
        <f>H2</f>
        <v>1.1499999999999999</v>
      </c>
      <c r="I4" s="19"/>
      <c r="J4" s="19">
        <v>8.1000000000000003E-2</v>
      </c>
      <c r="K4" s="19">
        <v>1466</v>
      </c>
      <c r="L4" s="19">
        <v>91</v>
      </c>
      <c r="M4" s="19">
        <v>58</v>
      </c>
      <c r="N4" s="19">
        <f t="shared" si="0"/>
        <v>1391.5</v>
      </c>
      <c r="O4" s="19" t="s">
        <v>1</v>
      </c>
      <c r="P4" s="19">
        <f t="shared" si="1"/>
        <v>39.249203813580728</v>
      </c>
      <c r="Q4" s="19">
        <f t="shared" si="2"/>
        <v>1.0502150997509372</v>
      </c>
      <c r="R4" s="19">
        <f>(Q4/H4/J4)</f>
        <v>11.274450882994495</v>
      </c>
      <c r="S4" s="19" t="s">
        <v>1</v>
      </c>
      <c r="T4" s="19">
        <f t="shared" ref="T4:T6" si="3">P4/N4*R4</f>
        <v>0.31801165691186212</v>
      </c>
      <c r="U4" s="19">
        <f t="shared" ref="U4:U6" si="4">R4/60*1000</f>
        <v>187.90751471657489</v>
      </c>
      <c r="V4" s="19" t="s">
        <v>1</v>
      </c>
      <c r="W4" s="19">
        <f t="shared" ref="W4:W6" si="5">T4/R4*U4</f>
        <v>5.3001942818643677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1324.9666666666667</v>
      </c>
      <c r="H5" s="19">
        <f>H2</f>
        <v>1.1499999999999999</v>
      </c>
      <c r="I5" s="19">
        <v>2E-3</v>
      </c>
      <c r="J5" s="19">
        <v>0.13700000000000001</v>
      </c>
      <c r="K5" s="19">
        <v>2570</v>
      </c>
      <c r="L5" s="19">
        <v>88</v>
      </c>
      <c r="M5" s="19">
        <v>79</v>
      </c>
      <c r="N5" s="19">
        <f t="shared" si="0"/>
        <v>2486.5</v>
      </c>
      <c r="O5" s="19" t="s">
        <v>1</v>
      </c>
      <c r="P5" s="19">
        <f t="shared" si="1"/>
        <v>51.512134492758115</v>
      </c>
      <c r="Q5" s="19">
        <f t="shared" si="2"/>
        <v>1.8766509849304385</v>
      </c>
      <c r="R5" s="19">
        <f>(Q5/H5/J5)</f>
        <v>11.911462931960893</v>
      </c>
      <c r="S5" s="19" t="s">
        <v>1</v>
      </c>
      <c r="T5" s="19">
        <f t="shared" si="3"/>
        <v>0.24676649127555694</v>
      </c>
      <c r="U5" s="19">
        <f t="shared" si="4"/>
        <v>198.5243821993482</v>
      </c>
      <c r="V5" s="19" t="s">
        <v>1</v>
      </c>
      <c r="W5" s="19">
        <f t="shared" si="5"/>
        <v>4.1127748545926153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1324.9666666666667</v>
      </c>
      <c r="H6" s="19">
        <f>H2</f>
        <v>1.1499999999999999</v>
      </c>
      <c r="I6" s="19">
        <v>2E-3</v>
      </c>
      <c r="J6" s="19">
        <v>4.5999999999999999E-2</v>
      </c>
      <c r="K6" s="19">
        <v>823</v>
      </c>
      <c r="L6" s="19">
        <v>42</v>
      </c>
      <c r="M6" s="19">
        <v>51</v>
      </c>
      <c r="N6" s="19">
        <f t="shared" si="0"/>
        <v>776.5</v>
      </c>
      <c r="O6" s="19" t="s">
        <v>1</v>
      </c>
      <c r="P6" s="19">
        <f t="shared" si="1"/>
        <v>29.487285395573462</v>
      </c>
      <c r="Q6" s="19">
        <f t="shared" si="2"/>
        <v>0.58605247930765547</v>
      </c>
      <c r="R6" s="19">
        <f>(Q6/H6/J6)</f>
        <v>11.078496773301616</v>
      </c>
      <c r="S6" s="19" t="s">
        <v>1</v>
      </c>
      <c r="T6" s="19">
        <f t="shared" si="3"/>
        <v>0.42070160477564</v>
      </c>
      <c r="U6" s="19">
        <f t="shared" si="4"/>
        <v>184.64161288836027</v>
      </c>
      <c r="V6" s="19" t="s">
        <v>1</v>
      </c>
      <c r="W6" s="19">
        <f t="shared" si="5"/>
        <v>7.0116934129273343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1324.9666666666667</v>
      </c>
      <c r="H7" s="23">
        <f>H2</f>
        <v>1.1499999999999999</v>
      </c>
      <c r="I7" s="23">
        <v>1E-3</v>
      </c>
      <c r="J7" s="23">
        <v>0.247</v>
      </c>
      <c r="K7" s="23">
        <v>3933</v>
      </c>
      <c r="L7" s="23">
        <v>63</v>
      </c>
      <c r="M7" s="23">
        <v>46</v>
      </c>
      <c r="N7" s="23">
        <f t="shared" si="0"/>
        <v>3878.5</v>
      </c>
      <c r="O7" s="23" t="s">
        <v>1</v>
      </c>
      <c r="P7" s="23">
        <f t="shared" si="1"/>
        <v>63.146654701575443</v>
      </c>
      <c r="Q7" s="23">
        <f t="shared" si="2"/>
        <v>2.9272434526654756</v>
      </c>
      <c r="R7" s="23">
        <f>Q7/H7/J7</f>
        <v>10.305380928236142</v>
      </c>
      <c r="S7" s="23" t="s">
        <v>1</v>
      </c>
      <c r="T7" s="23">
        <f>P7/N7*R7</f>
        <v>0.1677840224425754</v>
      </c>
      <c r="U7" s="23">
        <f>R7/60*1000</f>
        <v>171.75634880393571</v>
      </c>
      <c r="V7" s="23" t="s">
        <v>1</v>
      </c>
      <c r="W7" s="23">
        <f>T7/R7*U7</f>
        <v>2.7964003740429235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1324.9666666666667</v>
      </c>
      <c r="H8" s="25">
        <f>H2</f>
        <v>1.1499999999999999</v>
      </c>
      <c r="I8" s="25">
        <v>4.0000000000000001E-3</v>
      </c>
      <c r="J8" s="25">
        <v>1.55E-2</v>
      </c>
      <c r="K8" s="25">
        <v>1047</v>
      </c>
      <c r="L8" s="25">
        <v>22</v>
      </c>
      <c r="M8" s="25">
        <v>23</v>
      </c>
      <c r="N8" s="25">
        <f t="shared" si="0"/>
        <v>1024.5</v>
      </c>
      <c r="O8" s="25" t="s">
        <v>1</v>
      </c>
      <c r="P8" s="25">
        <f t="shared" si="1"/>
        <v>32.703210851535665</v>
      </c>
      <c r="Q8" s="25">
        <f t="shared" si="2"/>
        <v>0.77322699942136908</v>
      </c>
      <c r="R8" s="25">
        <f>Q8/H8/J8</f>
        <v>43.378793796430244</v>
      </c>
      <c r="S8" s="25" t="s">
        <v>1</v>
      </c>
      <c r="T8" s="25">
        <f>P8/N8*R8</f>
        <v>1.3847006735089755</v>
      </c>
      <c r="U8" s="25">
        <f>R8/60*1000</f>
        <v>722.97989660717076</v>
      </c>
      <c r="V8" s="25" t="s">
        <v>1</v>
      </c>
      <c r="W8" s="25">
        <f>T8/R8*U8</f>
        <v>23.078344558482929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1324.9666666666667</v>
      </c>
      <c r="H9" s="30">
        <f>H2</f>
        <v>1.1499999999999999</v>
      </c>
      <c r="J9" s="30">
        <v>0.19</v>
      </c>
      <c r="K9" s="30">
        <v>1724</v>
      </c>
      <c r="L9" s="30">
        <v>119</v>
      </c>
      <c r="M9" s="30">
        <v>119</v>
      </c>
      <c r="N9" s="30">
        <f t="shared" si="0"/>
        <v>1605</v>
      </c>
      <c r="P9" s="30">
        <f t="shared" si="1"/>
        <v>42.930175867331364</v>
      </c>
      <c r="Q9" s="30">
        <f t="shared" si="2"/>
        <v>1.2113512289617347</v>
      </c>
      <c r="R9" s="30">
        <f t="shared" ref="R9:R13" si="6">Q9/H9/J9</f>
        <v>5.5439415513122876</v>
      </c>
      <c r="S9" s="30" t="s">
        <v>1</v>
      </c>
      <c r="T9" s="30">
        <f t="shared" ref="T9:T16" si="7">P9/N9*R9</f>
        <v>0.14828809083865568</v>
      </c>
      <c r="U9" s="30">
        <f t="shared" ref="U9:U16" si="8">R9/60*1000</f>
        <v>92.399025855204798</v>
      </c>
      <c r="V9" s="30" t="s">
        <v>1</v>
      </c>
      <c r="W9" s="30">
        <f t="shared" ref="W9:W16" si="9">T9/R9*U9</f>
        <v>2.4714681806442615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1324.9666666666667</v>
      </c>
      <c r="H10" s="30">
        <f>H2</f>
        <v>1.1499999999999999</v>
      </c>
      <c r="J10" s="30">
        <v>2.5000000000000001E-2</v>
      </c>
      <c r="K10" s="30">
        <v>258</v>
      </c>
      <c r="L10" s="30">
        <v>50</v>
      </c>
      <c r="M10" s="30">
        <v>39</v>
      </c>
      <c r="N10" s="30">
        <f t="shared" si="0"/>
        <v>213.5</v>
      </c>
      <c r="P10" s="30">
        <f t="shared" si="1"/>
        <v>17.392527130926087</v>
      </c>
      <c r="Q10" s="30">
        <f t="shared" si="2"/>
        <v>0.16113612921079776</v>
      </c>
      <c r="R10" s="30">
        <f t="shared" si="6"/>
        <v>5.6047349290712267</v>
      </c>
      <c r="S10" s="30" t="s">
        <v>1</v>
      </c>
      <c r="T10" s="30">
        <f t="shared" si="7"/>
        <v>0.45658315838651242</v>
      </c>
      <c r="U10" s="30">
        <f t="shared" si="8"/>
        <v>93.412248817853779</v>
      </c>
      <c r="V10" s="30" t="s">
        <v>1</v>
      </c>
      <c r="W10" s="30">
        <f t="shared" si="9"/>
        <v>7.6097193064418738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1324.9666666666667</v>
      </c>
      <c r="H11" s="32">
        <f>H2</f>
        <v>1.1499999999999999</v>
      </c>
      <c r="J11" s="32">
        <v>3.1E-2</v>
      </c>
      <c r="K11" s="32">
        <v>319</v>
      </c>
      <c r="L11" s="32">
        <v>70</v>
      </c>
      <c r="M11" s="32">
        <v>69</v>
      </c>
      <c r="N11" s="32">
        <f t="shared" si="0"/>
        <v>249.5</v>
      </c>
      <c r="P11" s="32">
        <f t="shared" si="1"/>
        <v>19.710403344427025</v>
      </c>
      <c r="Q11" s="32">
        <f t="shared" si="2"/>
        <v>0.18830662406601423</v>
      </c>
      <c r="R11" s="32">
        <f t="shared" si="6"/>
        <v>5.2820932416834285</v>
      </c>
      <c r="S11" s="32" t="s">
        <v>1</v>
      </c>
      <c r="T11" s="32">
        <f t="shared" si="7"/>
        <v>0.41728331982546063</v>
      </c>
      <c r="U11" s="32">
        <f t="shared" si="8"/>
        <v>88.034887361390474</v>
      </c>
      <c r="V11" s="32" t="s">
        <v>1</v>
      </c>
      <c r="W11" s="32">
        <f t="shared" si="9"/>
        <v>6.9547219970910108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1324.9666666666667</v>
      </c>
      <c r="H12" s="32">
        <f>H2</f>
        <v>1.1499999999999999</v>
      </c>
      <c r="J12" s="32">
        <v>0.03</v>
      </c>
      <c r="K12" s="32">
        <v>238</v>
      </c>
      <c r="L12" s="32">
        <v>40</v>
      </c>
      <c r="M12" s="32">
        <v>40</v>
      </c>
      <c r="N12" s="32">
        <f t="shared" si="0"/>
        <v>198</v>
      </c>
      <c r="P12" s="32">
        <f t="shared" si="1"/>
        <v>16.673332000533065</v>
      </c>
      <c r="Q12" s="32">
        <f t="shared" si="2"/>
        <v>0.14943772170369066</v>
      </c>
      <c r="R12" s="32">
        <f t="shared" si="6"/>
        <v>4.3315281653243671</v>
      </c>
      <c r="S12" s="32" t="s">
        <v>1</v>
      </c>
      <c r="T12" s="32">
        <f t="shared" si="7"/>
        <v>0.36475256146521745</v>
      </c>
      <c r="U12" s="32">
        <f t="shared" si="8"/>
        <v>72.192136088739446</v>
      </c>
      <c r="V12" s="32" t="s">
        <v>1</v>
      </c>
      <c r="W12" s="32">
        <f t="shared" si="9"/>
        <v>6.0792093577536237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1324.9666666666667</v>
      </c>
      <c r="H13" s="32">
        <f>H2</f>
        <v>1.1499999999999999</v>
      </c>
      <c r="J13" s="32">
        <v>1.7999999999999999E-2</v>
      </c>
      <c r="K13" s="32">
        <v>189</v>
      </c>
      <c r="L13" s="32">
        <v>27</v>
      </c>
      <c r="M13" s="32">
        <v>28</v>
      </c>
      <c r="N13" s="32">
        <f t="shared" si="0"/>
        <v>161.5</v>
      </c>
      <c r="P13" s="32">
        <f t="shared" si="1"/>
        <v>14.713938969562161</v>
      </c>
      <c r="Q13" s="32">
        <f t="shared" si="2"/>
        <v>0.12188985886437394</v>
      </c>
      <c r="R13" s="32">
        <f t="shared" si="6"/>
        <v>5.888398978955264</v>
      </c>
      <c r="S13" s="32" t="s">
        <v>1</v>
      </c>
      <c r="T13" s="32">
        <f t="shared" si="7"/>
        <v>0.53648014368284758</v>
      </c>
      <c r="U13" s="32">
        <f t="shared" si="8"/>
        <v>98.139982982587739</v>
      </c>
      <c r="V13" s="32" t="s">
        <v>1</v>
      </c>
      <c r="W13" s="32">
        <f t="shared" si="9"/>
        <v>8.9413357280474592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1324.9666666666667</v>
      </c>
      <c r="H14" s="22">
        <f>H2</f>
        <v>1.1499999999999999</v>
      </c>
      <c r="I14" s="22">
        <v>5.0000000000000001E-3</v>
      </c>
      <c r="J14" s="22">
        <f>J4+J5+J6</f>
        <v>0.26400000000000001</v>
      </c>
      <c r="K14" s="22">
        <f>K4+K5+K6</f>
        <v>4859</v>
      </c>
      <c r="L14" s="22">
        <f>L4+L5+L6</f>
        <v>221</v>
      </c>
      <c r="M14" s="22">
        <f>M4+M5+M6</f>
        <v>188</v>
      </c>
      <c r="N14" s="22">
        <f>N4+N5+N6</f>
        <v>4654.5</v>
      </c>
      <c r="O14" s="22" t="s">
        <v>1</v>
      </c>
      <c r="P14" s="22">
        <f>SQRT((K14+(L14+M14)/2))</f>
        <v>71.158274290485707</v>
      </c>
      <c r="Q14" s="22">
        <f>N14/G14</f>
        <v>3.512918563989031</v>
      </c>
      <c r="R14" s="22">
        <f>(Q14/H14/J14)</f>
        <v>11.570878010504055</v>
      </c>
      <c r="S14" s="22" t="s">
        <v>1</v>
      </c>
      <c r="T14" s="22">
        <f>P14/N14*R14</f>
        <v>0.17689627484223808</v>
      </c>
      <c r="U14" s="22">
        <f>R14/60*1000</f>
        <v>192.84796684173423</v>
      </c>
      <c r="V14" s="22" t="s">
        <v>1</v>
      </c>
      <c r="W14" s="22">
        <f>T14/R14*U14</f>
        <v>2.9482712473706343</v>
      </c>
      <c r="X14" s="22"/>
    </row>
    <row r="15" spans="1:25" s="31" customFormat="1" x14ac:dyDescent="0.25">
      <c r="B15" s="31" t="s">
        <v>44</v>
      </c>
      <c r="G15" s="31">
        <f>G14</f>
        <v>1324.9666666666667</v>
      </c>
      <c r="H15" s="31">
        <f>H14</f>
        <v>1.1499999999999999</v>
      </c>
      <c r="I15" s="31">
        <v>5.0000000000000001E-3</v>
      </c>
      <c r="J15" s="31">
        <f>J9+J10</f>
        <v>0.215</v>
      </c>
      <c r="K15" s="31">
        <f>K9+K10</f>
        <v>1982</v>
      </c>
      <c r="L15" s="31">
        <f>L9+L10</f>
        <v>169</v>
      </c>
      <c r="M15" s="31">
        <f>M9+M10</f>
        <v>158</v>
      </c>
      <c r="N15" s="31">
        <f>N9+N10</f>
        <v>1818.5</v>
      </c>
      <c r="O15" s="31" t="s">
        <v>1</v>
      </c>
      <c r="P15" s="31">
        <f>SQRT((K15+(L15+M15)/2))</f>
        <v>46.319542312073857</v>
      </c>
      <c r="Q15" s="31">
        <f>N15/G15</f>
        <v>1.3724873581725325</v>
      </c>
      <c r="R15" s="31">
        <f>(Q15/H15/J15)</f>
        <v>5.5510105487261177</v>
      </c>
      <c r="S15" s="31" t="s">
        <v>1</v>
      </c>
      <c r="T15" s="31">
        <f>P15/N15*R15</f>
        <v>0.14139140389688629</v>
      </c>
      <c r="U15" s="31">
        <f>R15/60*1000</f>
        <v>92.516842478768623</v>
      </c>
      <c r="V15" s="31" t="s">
        <v>1</v>
      </c>
      <c r="W15" s="31">
        <f>T15/R15*U15</f>
        <v>2.3565233982814382</v>
      </c>
      <c r="X15" s="31">
        <v>3225</v>
      </c>
    </row>
    <row r="16" spans="1:25" s="33" customFormat="1" x14ac:dyDescent="0.25">
      <c r="B16" s="33" t="s">
        <v>46</v>
      </c>
      <c r="G16" s="33">
        <f>G10</f>
        <v>1324.9666666666667</v>
      </c>
      <c r="H16" s="33">
        <f>H10</f>
        <v>1.1499999999999999</v>
      </c>
      <c r="I16" s="33">
        <v>5.0000000000000001E-3</v>
      </c>
      <c r="J16" s="33">
        <f>J11+J12+J13</f>
        <v>7.9000000000000001E-2</v>
      </c>
      <c r="K16" s="33">
        <f>K11+K12+K13</f>
        <v>746</v>
      </c>
      <c r="L16" s="33">
        <f>L11+L12+L13</f>
        <v>137</v>
      </c>
      <c r="M16" s="33">
        <f t="shared" ref="M16" si="10">M11+M12+M13</f>
        <v>137</v>
      </c>
      <c r="N16" s="33">
        <f>N11+N12+N13</f>
        <v>609</v>
      </c>
      <c r="O16" s="33" t="s">
        <v>1</v>
      </c>
      <c r="P16" s="33">
        <f t="shared" si="1"/>
        <v>29.715315916207253</v>
      </c>
      <c r="Q16" s="33">
        <f t="shared" si="2"/>
        <v>0.45963420463407884</v>
      </c>
      <c r="R16" s="33">
        <f>(Q16/H16/J16)</f>
        <v>5.0592647730773681</v>
      </c>
      <c r="S16" s="33" t="s">
        <v>1</v>
      </c>
      <c r="T16" s="33">
        <f t="shared" si="7"/>
        <v>0.2468598539174591</v>
      </c>
      <c r="U16" s="33">
        <f t="shared" si="8"/>
        <v>84.321079551289472</v>
      </c>
      <c r="V16" s="33" t="s">
        <v>1</v>
      </c>
      <c r="W16" s="33">
        <f t="shared" si="9"/>
        <v>4.1143308986243188</v>
      </c>
      <c r="X16" s="33">
        <v>3225</v>
      </c>
    </row>
    <row r="18" spans="1:7" x14ac:dyDescent="0.25">
      <c r="A18" t="s">
        <v>295</v>
      </c>
      <c r="B18" t="s">
        <v>296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297</v>
      </c>
      <c r="D21">
        <v>330</v>
      </c>
      <c r="E21">
        <v>251</v>
      </c>
      <c r="F21" t="s">
        <v>298</v>
      </c>
      <c r="G21">
        <v>64.819999999999993</v>
      </c>
    </row>
    <row r="22" spans="1:7" x14ac:dyDescent="0.25">
      <c r="A22" t="s">
        <v>62</v>
      </c>
      <c r="B22" t="s">
        <v>107</v>
      </c>
      <c r="C22">
        <v>294</v>
      </c>
      <c r="D22">
        <v>197</v>
      </c>
      <c r="E22">
        <v>194</v>
      </c>
      <c r="F22">
        <v>120</v>
      </c>
      <c r="G22">
        <v>17.149999999999999</v>
      </c>
    </row>
    <row r="23" spans="1:7" x14ac:dyDescent="0.25">
      <c r="A23" t="s">
        <v>64</v>
      </c>
      <c r="B23" t="s">
        <v>65</v>
      </c>
      <c r="C23" t="s">
        <v>299</v>
      </c>
      <c r="D23">
        <v>91</v>
      </c>
      <c r="E23">
        <v>58</v>
      </c>
      <c r="F23" t="s">
        <v>300</v>
      </c>
      <c r="G23">
        <v>38.29</v>
      </c>
    </row>
    <row r="24" spans="1:7" x14ac:dyDescent="0.25">
      <c r="A24" t="s">
        <v>64</v>
      </c>
      <c r="B24" t="s">
        <v>68</v>
      </c>
      <c r="C24" t="s">
        <v>301</v>
      </c>
      <c r="D24">
        <v>88</v>
      </c>
      <c r="E24">
        <v>79</v>
      </c>
      <c r="F24" t="s">
        <v>302</v>
      </c>
      <c r="G24">
        <v>50.7</v>
      </c>
    </row>
    <row r="25" spans="1:7" x14ac:dyDescent="0.25">
      <c r="A25" t="s">
        <v>71</v>
      </c>
      <c r="B25" t="s">
        <v>72</v>
      </c>
      <c r="C25">
        <v>823</v>
      </c>
      <c r="D25">
        <v>42</v>
      </c>
      <c r="E25">
        <v>51</v>
      </c>
      <c r="F25">
        <v>779</v>
      </c>
      <c r="G25">
        <v>28.69</v>
      </c>
    </row>
    <row r="26" spans="1:7" x14ac:dyDescent="0.25">
      <c r="A26" t="s">
        <v>73</v>
      </c>
      <c r="B26" t="s">
        <v>74</v>
      </c>
      <c r="C26" t="s">
        <v>303</v>
      </c>
      <c r="D26">
        <v>63</v>
      </c>
      <c r="E26">
        <v>46</v>
      </c>
      <c r="F26" t="s">
        <v>304</v>
      </c>
      <c r="G26">
        <v>62.71</v>
      </c>
    </row>
    <row r="27" spans="1:7" x14ac:dyDescent="0.25">
      <c r="A27" t="s">
        <v>77</v>
      </c>
      <c r="B27" t="s">
        <v>78</v>
      </c>
      <c r="C27" t="s">
        <v>131</v>
      </c>
      <c r="D27">
        <v>22</v>
      </c>
      <c r="E27">
        <v>23</v>
      </c>
      <c r="F27" t="s">
        <v>305</v>
      </c>
      <c r="G27">
        <v>32.36</v>
      </c>
    </row>
    <row r="28" spans="1:7" x14ac:dyDescent="0.25">
      <c r="A28" t="s">
        <v>71</v>
      </c>
      <c r="B28" t="s">
        <v>81</v>
      </c>
      <c r="C28">
        <v>142</v>
      </c>
      <c r="D28">
        <v>39</v>
      </c>
      <c r="E28">
        <v>43</v>
      </c>
      <c r="F28">
        <v>102</v>
      </c>
      <c r="G28">
        <v>11.92</v>
      </c>
    </row>
    <row r="29" spans="1:7" x14ac:dyDescent="0.25">
      <c r="A29" t="s">
        <v>82</v>
      </c>
      <c r="B29" t="s">
        <v>83</v>
      </c>
      <c r="C29">
        <v>5</v>
      </c>
      <c r="D29">
        <v>22</v>
      </c>
      <c r="E29">
        <v>9</v>
      </c>
      <c r="F29">
        <v>-9</v>
      </c>
      <c r="G29">
        <v>2.2400000000000002</v>
      </c>
    </row>
    <row r="30" spans="1:7" x14ac:dyDescent="0.25">
      <c r="A30" t="s">
        <v>84</v>
      </c>
      <c r="B30" t="s">
        <v>85</v>
      </c>
      <c r="C30" t="s">
        <v>306</v>
      </c>
      <c r="D30">
        <v>280</v>
      </c>
      <c r="E30">
        <v>279</v>
      </c>
      <c r="F30" t="s">
        <v>307</v>
      </c>
      <c r="G30">
        <v>50.46</v>
      </c>
    </row>
    <row r="31" spans="1:7" x14ac:dyDescent="0.25">
      <c r="A31" t="s">
        <v>88</v>
      </c>
      <c r="B31" t="s">
        <v>89</v>
      </c>
      <c r="C31" t="s">
        <v>308</v>
      </c>
      <c r="D31">
        <v>164</v>
      </c>
      <c r="E31">
        <v>127</v>
      </c>
      <c r="F31" t="s">
        <v>309</v>
      </c>
      <c r="G31">
        <v>44.47</v>
      </c>
    </row>
    <row r="32" spans="1:7" x14ac:dyDescent="0.25">
      <c r="A32" t="s">
        <v>92</v>
      </c>
      <c r="B32" t="s">
        <v>93</v>
      </c>
      <c r="C32" t="s">
        <v>247</v>
      </c>
      <c r="D32">
        <v>119</v>
      </c>
      <c r="E32">
        <v>119</v>
      </c>
      <c r="F32" t="s">
        <v>310</v>
      </c>
      <c r="G32">
        <v>41.52</v>
      </c>
    </row>
    <row r="33" spans="1:7" x14ac:dyDescent="0.25">
      <c r="A33" t="s">
        <v>96</v>
      </c>
      <c r="B33" t="s">
        <v>97</v>
      </c>
      <c r="C33">
        <v>258</v>
      </c>
      <c r="D33">
        <v>50</v>
      </c>
      <c r="E33">
        <v>39</v>
      </c>
      <c r="F33">
        <v>216</v>
      </c>
      <c r="G33">
        <v>16.059999999999999</v>
      </c>
    </row>
    <row r="34" spans="1:7" x14ac:dyDescent="0.25">
      <c r="A34" t="s">
        <v>82</v>
      </c>
      <c r="B34" t="s">
        <v>98</v>
      </c>
      <c r="C34">
        <v>319</v>
      </c>
      <c r="D34">
        <v>70</v>
      </c>
      <c r="E34">
        <v>69</v>
      </c>
      <c r="F34">
        <v>255</v>
      </c>
      <c r="G34">
        <v>17.86</v>
      </c>
    </row>
    <row r="35" spans="1:7" x14ac:dyDescent="0.25">
      <c r="A35" t="s">
        <v>82</v>
      </c>
      <c r="B35" t="s">
        <v>99</v>
      </c>
      <c r="C35">
        <v>238</v>
      </c>
      <c r="D35">
        <v>40</v>
      </c>
      <c r="E35">
        <v>40</v>
      </c>
      <c r="F35">
        <v>199</v>
      </c>
      <c r="G35">
        <v>15.43</v>
      </c>
    </row>
    <row r="36" spans="1:7" x14ac:dyDescent="0.25">
      <c r="A36" t="s">
        <v>82</v>
      </c>
      <c r="B36" t="s">
        <v>100</v>
      </c>
      <c r="C36">
        <v>189</v>
      </c>
      <c r="D36">
        <v>27</v>
      </c>
      <c r="E36">
        <v>28</v>
      </c>
      <c r="F36">
        <v>162</v>
      </c>
      <c r="G36">
        <v>13.75</v>
      </c>
    </row>
    <row r="37" spans="1:7" x14ac:dyDescent="0.25">
      <c r="A37" t="s">
        <v>101</v>
      </c>
      <c r="B37" t="s">
        <v>102</v>
      </c>
      <c r="C37">
        <v>488</v>
      </c>
      <c r="D37">
        <v>148</v>
      </c>
      <c r="E37">
        <v>132</v>
      </c>
      <c r="F37">
        <v>324</v>
      </c>
      <c r="G37">
        <v>22.09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H25" sqref="H25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85125/60</f>
        <v>1418.75</v>
      </c>
      <c r="H2" s="20">
        <f>2.92-1.8</f>
        <v>1.1199999999999999</v>
      </c>
      <c r="I2" s="20">
        <v>0</v>
      </c>
      <c r="J2" s="20">
        <v>2.1399999999999999E-2</v>
      </c>
      <c r="K2" s="20">
        <v>4220</v>
      </c>
      <c r="L2" s="20">
        <v>321</v>
      </c>
      <c r="M2" s="20">
        <v>280</v>
      </c>
      <c r="N2" s="20">
        <f t="shared" ref="N2:N13" si="0">K2-(L2+M2)/2</f>
        <v>3919.5</v>
      </c>
      <c r="O2" s="20" t="s">
        <v>1</v>
      </c>
      <c r="P2" s="20">
        <f t="shared" ref="P2:P16" si="1">SQRT((K2+(L2+M2)/2))</f>
        <v>67.234663678789971</v>
      </c>
      <c r="Q2" s="20">
        <f t="shared" ref="Q2:Q16" si="2">N2/G2</f>
        <v>2.7626431718061673</v>
      </c>
      <c r="R2" s="20">
        <f>(Q2/H2/J2)</f>
        <v>115.26381724825467</v>
      </c>
      <c r="S2" s="20" t="s">
        <v>1</v>
      </c>
      <c r="T2" s="20">
        <f>P2/N2*R2</f>
        <v>1.9772226016124284</v>
      </c>
      <c r="U2" s="20">
        <f>R2/60*1000</f>
        <v>1921.0636208042445</v>
      </c>
      <c r="V2" s="20" t="s">
        <v>1</v>
      </c>
      <c r="W2" s="20">
        <f>T2/R2*U2</f>
        <v>32.953710026873807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1418.75</v>
      </c>
      <c r="H3" s="21">
        <f>H2</f>
        <v>1.1199999999999999</v>
      </c>
      <c r="I3" s="21">
        <v>0</v>
      </c>
      <c r="J3" s="21">
        <v>0.26</v>
      </c>
      <c r="K3" s="21">
        <v>304</v>
      </c>
      <c r="L3" s="21">
        <v>235</v>
      </c>
      <c r="M3" s="21">
        <v>244</v>
      </c>
      <c r="N3" s="21">
        <f t="shared" si="0"/>
        <v>64.5</v>
      </c>
      <c r="O3" s="21" t="s">
        <v>1</v>
      </c>
      <c r="P3" s="21">
        <f t="shared" si="1"/>
        <v>23.313086453749534</v>
      </c>
      <c r="Q3" s="21">
        <f t="shared" si="2"/>
        <v>4.5462555066079297E-2</v>
      </c>
      <c r="R3" s="21">
        <f>Q3/H3/J3</f>
        <v>0.15612141162801957</v>
      </c>
      <c r="S3" s="21" t="s">
        <v>1</v>
      </c>
      <c r="T3" s="21">
        <f>P3/N3*R3</f>
        <v>5.6429022737448646E-2</v>
      </c>
      <c r="U3" s="21">
        <f>R3/60*1000</f>
        <v>2.6020235271336594</v>
      </c>
      <c r="V3" s="21" t="s">
        <v>1</v>
      </c>
      <c r="W3" s="21">
        <f>T3/R3*U3</f>
        <v>0.94048371229081074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1418.75</v>
      </c>
      <c r="H4" s="19">
        <f>H2</f>
        <v>1.1199999999999999</v>
      </c>
      <c r="I4" s="19"/>
      <c r="J4" s="19">
        <v>8.1000000000000003E-2</v>
      </c>
      <c r="K4" s="19">
        <v>1572</v>
      </c>
      <c r="L4" s="19">
        <v>86</v>
      </c>
      <c r="M4" s="19">
        <v>65</v>
      </c>
      <c r="N4" s="19">
        <f t="shared" si="0"/>
        <v>1496.5</v>
      </c>
      <c r="O4" s="19" t="s">
        <v>1</v>
      </c>
      <c r="P4" s="19">
        <f t="shared" si="1"/>
        <v>40.589407485204809</v>
      </c>
      <c r="Q4" s="19">
        <f t="shared" si="2"/>
        <v>1.0548017621145374</v>
      </c>
      <c r="R4" s="19">
        <f>(Q4/H4/J4)</f>
        <v>11.627003550645254</v>
      </c>
      <c r="S4" s="19" t="s">
        <v>1</v>
      </c>
      <c r="T4" s="19">
        <f t="shared" ref="T4:T6" si="3">P4/N4*R4</f>
        <v>0.31535795853595949</v>
      </c>
      <c r="U4" s="19">
        <f t="shared" ref="U4:U6" si="4">R4/60*1000</f>
        <v>193.78339251075425</v>
      </c>
      <c r="V4" s="19" t="s">
        <v>1</v>
      </c>
      <c r="W4" s="19">
        <f t="shared" ref="W4:W6" si="5">T4/R4*U4</f>
        <v>5.2559659755993255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1418.75</v>
      </c>
      <c r="H5" s="19">
        <f>H2</f>
        <v>1.1199999999999999</v>
      </c>
      <c r="I5" s="19">
        <v>2E-3</v>
      </c>
      <c r="J5" s="19">
        <v>0.13700000000000001</v>
      </c>
      <c r="K5" s="19">
        <v>2577</v>
      </c>
      <c r="L5" s="19">
        <v>104</v>
      </c>
      <c r="M5" s="19">
        <v>70</v>
      </c>
      <c r="N5" s="19">
        <f t="shared" si="0"/>
        <v>2490</v>
      </c>
      <c r="O5" s="19" t="s">
        <v>1</v>
      </c>
      <c r="P5" s="19">
        <f t="shared" si="1"/>
        <v>51.61395160225576</v>
      </c>
      <c r="Q5" s="19">
        <f t="shared" si="2"/>
        <v>1.7550660792951542</v>
      </c>
      <c r="R5" s="19">
        <f>(Q5/H5/J5)</f>
        <v>11.438126168503352</v>
      </c>
      <c r="S5" s="19" t="s">
        <v>1</v>
      </c>
      <c r="T5" s="19">
        <f t="shared" si="3"/>
        <v>0.23709513673960927</v>
      </c>
      <c r="U5" s="19">
        <f t="shared" si="4"/>
        <v>190.63543614172255</v>
      </c>
      <c r="V5" s="19" t="s">
        <v>1</v>
      </c>
      <c r="W5" s="19">
        <f t="shared" si="5"/>
        <v>3.9515856123268214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1418.75</v>
      </c>
      <c r="H6" s="19">
        <f>H2</f>
        <v>1.1199999999999999</v>
      </c>
      <c r="I6" s="19">
        <v>2E-3</v>
      </c>
      <c r="J6" s="19">
        <v>4.5999999999999999E-2</v>
      </c>
      <c r="K6" s="19">
        <v>905</v>
      </c>
      <c r="L6" s="19">
        <v>44</v>
      </c>
      <c r="M6" s="19">
        <v>55</v>
      </c>
      <c r="N6" s="19">
        <f t="shared" si="0"/>
        <v>855.5</v>
      </c>
      <c r="O6" s="19" t="s">
        <v>1</v>
      </c>
      <c r="P6" s="19">
        <f t="shared" si="1"/>
        <v>30.894983411550815</v>
      </c>
      <c r="Q6" s="19">
        <f t="shared" si="2"/>
        <v>0.60299559471365638</v>
      </c>
      <c r="R6" s="19">
        <f>(Q6/H6/J6)</f>
        <v>11.704107040249543</v>
      </c>
      <c r="S6" s="19" t="s">
        <v>1</v>
      </c>
      <c r="T6" s="19">
        <f t="shared" si="3"/>
        <v>0.42267468481066595</v>
      </c>
      <c r="U6" s="19">
        <f t="shared" si="4"/>
        <v>195.06845067082571</v>
      </c>
      <c r="V6" s="19" t="s">
        <v>1</v>
      </c>
      <c r="W6" s="19">
        <f t="shared" si="5"/>
        <v>7.0445780801777662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1418.75</v>
      </c>
      <c r="H7" s="23">
        <f>H2</f>
        <v>1.1199999999999999</v>
      </c>
      <c r="I7" s="23">
        <v>1E-3</v>
      </c>
      <c r="J7" s="23">
        <v>0.247</v>
      </c>
      <c r="K7" s="23">
        <v>3973</v>
      </c>
      <c r="L7" s="23">
        <v>67</v>
      </c>
      <c r="M7" s="23">
        <v>53</v>
      </c>
      <c r="N7" s="23">
        <f t="shared" si="0"/>
        <v>3913</v>
      </c>
      <c r="O7" s="23" t="s">
        <v>1</v>
      </c>
      <c r="P7" s="23">
        <f t="shared" si="1"/>
        <v>63.505905237229712</v>
      </c>
      <c r="Q7" s="23">
        <f t="shared" si="2"/>
        <v>2.7580616740088106</v>
      </c>
      <c r="R7" s="23">
        <f>Q7/H7/J7</f>
        <v>9.9698585671226532</v>
      </c>
      <c r="S7" s="23" t="s">
        <v>1</v>
      </c>
      <c r="T7" s="23">
        <f>P7/N7*R7</f>
        <v>0.16180549281683465</v>
      </c>
      <c r="U7" s="23">
        <f>R7/60*1000</f>
        <v>166.16430945204422</v>
      </c>
      <c r="V7" s="23" t="s">
        <v>1</v>
      </c>
      <c r="W7" s="23">
        <f>T7/R7*U7</f>
        <v>2.696758213613911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1418.75</v>
      </c>
      <c r="H8" s="25">
        <f>H2</f>
        <v>1.1199999999999999</v>
      </c>
      <c r="I8" s="25">
        <v>4.0000000000000001E-3</v>
      </c>
      <c r="J8" s="25">
        <v>1.55E-2</v>
      </c>
      <c r="K8" s="25">
        <v>1052</v>
      </c>
      <c r="L8" s="25">
        <v>26</v>
      </c>
      <c r="M8" s="25">
        <v>22</v>
      </c>
      <c r="N8" s="25">
        <f t="shared" si="0"/>
        <v>1028</v>
      </c>
      <c r="O8" s="25" t="s">
        <v>1</v>
      </c>
      <c r="P8" s="25">
        <f t="shared" si="1"/>
        <v>32.802438933713454</v>
      </c>
      <c r="Q8" s="25">
        <f t="shared" si="2"/>
        <v>0.72458149779735681</v>
      </c>
      <c r="R8" s="25">
        <f>Q8/H8/J8</f>
        <v>41.738565541322401</v>
      </c>
      <c r="S8" s="25" t="s">
        <v>1</v>
      </c>
      <c r="T8" s="25">
        <f>P8/N8*R8</f>
        <v>1.331835357344382</v>
      </c>
      <c r="U8" s="25">
        <f>R8/60*1000</f>
        <v>695.64275902203997</v>
      </c>
      <c r="V8" s="25" t="s">
        <v>1</v>
      </c>
      <c r="W8" s="25">
        <f>T8/R8*U8</f>
        <v>22.197255955739699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1418.75</v>
      </c>
      <c r="H9" s="30">
        <f>H2</f>
        <v>1.1199999999999999</v>
      </c>
      <c r="J9" s="30">
        <v>0.19</v>
      </c>
      <c r="K9" s="30">
        <v>1800</v>
      </c>
      <c r="L9" s="30">
        <v>140</v>
      </c>
      <c r="M9" s="30">
        <v>130</v>
      </c>
      <c r="N9" s="30">
        <f t="shared" si="0"/>
        <v>1665</v>
      </c>
      <c r="P9" s="30">
        <f t="shared" si="1"/>
        <v>43.988634895845543</v>
      </c>
      <c r="Q9" s="30">
        <f t="shared" si="2"/>
        <v>1.173568281938326</v>
      </c>
      <c r="R9" s="30">
        <f t="shared" ref="R9:R13" si="6">Q9/H9/J9</f>
        <v>5.514888542943261</v>
      </c>
      <c r="S9" s="30" t="s">
        <v>1</v>
      </c>
      <c r="T9" s="30">
        <f t="shared" ref="T9:T16" si="7">P9/N9*R9</f>
        <v>0.14570115231640401</v>
      </c>
      <c r="U9" s="30">
        <f t="shared" ref="U9:U16" si="8">R9/60*1000</f>
        <v>91.914809049054341</v>
      </c>
      <c r="V9" s="30" t="s">
        <v>1</v>
      </c>
      <c r="W9" s="30">
        <f t="shared" ref="W9:W16" si="9">T9/R9*U9</f>
        <v>2.4283525386067333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1418.75</v>
      </c>
      <c r="H10" s="30">
        <f>H2</f>
        <v>1.1199999999999999</v>
      </c>
      <c r="J10" s="30">
        <v>2.5000000000000001E-2</v>
      </c>
      <c r="K10" s="30">
        <v>268</v>
      </c>
      <c r="L10" s="30">
        <v>49</v>
      </c>
      <c r="M10" s="30">
        <v>48</v>
      </c>
      <c r="N10" s="30">
        <f t="shared" si="0"/>
        <v>219.5</v>
      </c>
      <c r="P10" s="30">
        <f t="shared" si="1"/>
        <v>17.790446874657196</v>
      </c>
      <c r="Q10" s="30">
        <f t="shared" si="2"/>
        <v>0.15471365638766521</v>
      </c>
      <c r="R10" s="30">
        <f t="shared" si="6"/>
        <v>5.5254877281309005</v>
      </c>
      <c r="S10" s="30" t="s">
        <v>1</v>
      </c>
      <c r="T10" s="30">
        <f t="shared" si="7"/>
        <v>0.44784007236393197</v>
      </c>
      <c r="U10" s="30">
        <f t="shared" si="8"/>
        <v>92.091462135515016</v>
      </c>
      <c r="V10" s="30" t="s">
        <v>1</v>
      </c>
      <c r="W10" s="30">
        <f t="shared" si="9"/>
        <v>7.4640012060655341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1418.75</v>
      </c>
      <c r="H11" s="32">
        <f>H2</f>
        <v>1.1199999999999999</v>
      </c>
      <c r="J11" s="32">
        <v>3.1E-2</v>
      </c>
      <c r="K11" s="32">
        <v>318</v>
      </c>
      <c r="L11" s="32">
        <v>72</v>
      </c>
      <c r="M11" s="32">
        <v>64</v>
      </c>
      <c r="N11" s="32">
        <f t="shared" si="0"/>
        <v>250</v>
      </c>
      <c r="P11" s="32">
        <f t="shared" si="1"/>
        <v>19.646882704388499</v>
      </c>
      <c r="Q11" s="32">
        <f t="shared" si="2"/>
        <v>0.1762114537444934</v>
      </c>
      <c r="R11" s="32">
        <f t="shared" si="6"/>
        <v>5.0752146815810315</v>
      </c>
      <c r="S11" s="32" t="s">
        <v>1</v>
      </c>
      <c r="T11" s="32">
        <f t="shared" si="7"/>
        <v>0.39884859019445185</v>
      </c>
      <c r="U11" s="32">
        <f t="shared" si="8"/>
        <v>84.586911359683853</v>
      </c>
      <c r="V11" s="32" t="s">
        <v>1</v>
      </c>
      <c r="W11" s="32">
        <f t="shared" si="9"/>
        <v>6.6474765032408634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1418.75</v>
      </c>
      <c r="H12" s="32">
        <f>H2</f>
        <v>1.1199999999999999</v>
      </c>
      <c r="J12" s="32">
        <v>0.03</v>
      </c>
      <c r="K12" s="32">
        <v>315</v>
      </c>
      <c r="L12" s="32">
        <v>47</v>
      </c>
      <c r="M12" s="32">
        <v>43</v>
      </c>
      <c r="N12" s="32">
        <f t="shared" si="0"/>
        <v>270</v>
      </c>
      <c r="P12" s="32">
        <f t="shared" si="1"/>
        <v>18.973665961010276</v>
      </c>
      <c r="Q12" s="32">
        <f t="shared" si="2"/>
        <v>0.19030837004405288</v>
      </c>
      <c r="R12" s="32">
        <f t="shared" si="6"/>
        <v>5.6639395846444316</v>
      </c>
      <c r="S12" s="32" t="s">
        <v>1</v>
      </c>
      <c r="T12" s="32">
        <f t="shared" si="7"/>
        <v>0.39802110260143236</v>
      </c>
      <c r="U12" s="32">
        <f t="shared" si="8"/>
        <v>94.398993077407198</v>
      </c>
      <c r="V12" s="32" t="s">
        <v>1</v>
      </c>
      <c r="W12" s="32">
        <f t="shared" si="9"/>
        <v>6.6336850433572065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1418.75</v>
      </c>
      <c r="H13" s="32">
        <f>H2</f>
        <v>1.1199999999999999</v>
      </c>
      <c r="J13" s="32">
        <v>1.7999999999999999E-2</v>
      </c>
      <c r="K13" s="32">
        <v>174</v>
      </c>
      <c r="L13" s="32">
        <v>43</v>
      </c>
      <c r="M13" s="32">
        <v>44</v>
      </c>
      <c r="N13" s="32">
        <f t="shared" si="0"/>
        <v>130.5</v>
      </c>
      <c r="P13" s="32">
        <f t="shared" si="1"/>
        <v>14.747881203752625</v>
      </c>
      <c r="Q13" s="32">
        <f t="shared" si="2"/>
        <v>9.1982378854625554E-2</v>
      </c>
      <c r="R13" s="32">
        <f t="shared" si="6"/>
        <v>4.5626179987413478</v>
      </c>
      <c r="S13" s="32" t="s">
        <v>1</v>
      </c>
      <c r="T13" s="32">
        <f t="shared" si="7"/>
        <v>0.51562412431832139</v>
      </c>
      <c r="U13" s="32">
        <f t="shared" si="8"/>
        <v>76.043633312355794</v>
      </c>
      <c r="V13" s="32" t="s">
        <v>1</v>
      </c>
      <c r="W13" s="32">
        <f t="shared" si="9"/>
        <v>8.5937354053053561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1418.75</v>
      </c>
      <c r="H14" s="22">
        <f>H2</f>
        <v>1.1199999999999999</v>
      </c>
      <c r="I14" s="22">
        <v>5.0000000000000001E-3</v>
      </c>
      <c r="J14" s="22">
        <f>J4+J5+J6</f>
        <v>0.26400000000000001</v>
      </c>
      <c r="K14" s="22">
        <f>K4+K5+K6</f>
        <v>5054</v>
      </c>
      <c r="L14" s="22">
        <f>L4+L5+L6</f>
        <v>234</v>
      </c>
      <c r="M14" s="22">
        <f>M4+M5+M6</f>
        <v>190</v>
      </c>
      <c r="N14" s="22">
        <f>N4+N5+N6</f>
        <v>4842</v>
      </c>
      <c r="O14" s="22" t="s">
        <v>1</v>
      </c>
      <c r="P14" s="22">
        <f>SQRT((K14+(L14+M14)/2))</f>
        <v>72.567210226106937</v>
      </c>
      <c r="Q14" s="22">
        <f>N14/G14</f>
        <v>3.4128634361233479</v>
      </c>
      <c r="R14" s="22">
        <f>(Q14/H14/J14)</f>
        <v>11.542422335373878</v>
      </c>
      <c r="S14" s="22" t="s">
        <v>1</v>
      </c>
      <c r="T14" s="22">
        <f>P14/N14*R14</f>
        <v>0.17298665595406618</v>
      </c>
      <c r="U14" s="22">
        <f>R14/60*1000</f>
        <v>192.37370558956462</v>
      </c>
      <c r="V14" s="22" t="s">
        <v>1</v>
      </c>
      <c r="W14" s="22">
        <f>T14/R14*U14</f>
        <v>2.8831109325677695</v>
      </c>
      <c r="X14" s="22"/>
    </row>
    <row r="15" spans="1:25" s="31" customFormat="1" x14ac:dyDescent="0.25">
      <c r="B15" s="31" t="s">
        <v>44</v>
      </c>
      <c r="G15" s="31">
        <f>G14</f>
        <v>1418.75</v>
      </c>
      <c r="H15" s="31">
        <f>H14</f>
        <v>1.1199999999999999</v>
      </c>
      <c r="I15" s="31">
        <v>5.0000000000000001E-3</v>
      </c>
      <c r="J15" s="31">
        <f>J9+J10</f>
        <v>0.215</v>
      </c>
      <c r="K15" s="31">
        <f>K9+K10</f>
        <v>2068</v>
      </c>
      <c r="L15" s="31">
        <f>L9+L10</f>
        <v>189</v>
      </c>
      <c r="M15" s="31">
        <f>M9+M10</f>
        <v>178</v>
      </c>
      <c r="N15" s="31">
        <f>N9+N10</f>
        <v>1884.5</v>
      </c>
      <c r="O15" s="31" t="s">
        <v>1</v>
      </c>
      <c r="P15" s="31">
        <f>SQRT((K15+(L15+M15)/2))</f>
        <v>47.44997365647319</v>
      </c>
      <c r="Q15" s="31">
        <f>N15/G15</f>
        <v>1.3282819383259912</v>
      </c>
      <c r="R15" s="31">
        <f>(Q15/H15/J15)</f>
        <v>5.5161210063371735</v>
      </c>
      <c r="S15" s="31" t="s">
        <v>1</v>
      </c>
      <c r="T15" s="31">
        <f>P15/N15*R15</f>
        <v>0.13889084448745942</v>
      </c>
      <c r="U15" s="31">
        <f>R15/60*1000</f>
        <v>91.935350105619548</v>
      </c>
      <c r="V15" s="31" t="s">
        <v>1</v>
      </c>
      <c r="W15" s="31">
        <f>T15/R15*U15</f>
        <v>2.3148474081243231</v>
      </c>
      <c r="X15" s="31">
        <v>3225</v>
      </c>
    </row>
    <row r="16" spans="1:25" s="33" customFormat="1" x14ac:dyDescent="0.25">
      <c r="B16" s="33" t="s">
        <v>46</v>
      </c>
      <c r="G16" s="33">
        <f>G10</f>
        <v>1418.75</v>
      </c>
      <c r="H16" s="33">
        <f>H10</f>
        <v>1.1199999999999999</v>
      </c>
      <c r="I16" s="33">
        <v>5.0000000000000001E-3</v>
      </c>
      <c r="J16" s="33">
        <f>J11+J12+J13</f>
        <v>7.9000000000000001E-2</v>
      </c>
      <c r="K16" s="33">
        <f>K11+K12+K13</f>
        <v>807</v>
      </c>
      <c r="L16" s="33">
        <f>L11+L12+L13</f>
        <v>162</v>
      </c>
      <c r="M16" s="33">
        <f t="shared" ref="M16" si="10">M11+M12+M13</f>
        <v>151</v>
      </c>
      <c r="N16" s="33">
        <f>N11+N12+N13</f>
        <v>650.5</v>
      </c>
      <c r="O16" s="33" t="s">
        <v>1</v>
      </c>
      <c r="P16" s="33">
        <f t="shared" si="1"/>
        <v>31.040296390337513</v>
      </c>
      <c r="Q16" s="33">
        <f t="shared" si="2"/>
        <v>0.45850220264317182</v>
      </c>
      <c r="R16" s="33">
        <f>(Q16/H16/J16)</f>
        <v>5.181986919565686</v>
      </c>
      <c r="S16" s="33" t="s">
        <v>1</v>
      </c>
      <c r="T16" s="33">
        <f t="shared" si="7"/>
        <v>0.24727195983731126</v>
      </c>
      <c r="U16" s="33">
        <f t="shared" si="8"/>
        <v>86.366448659428087</v>
      </c>
      <c r="V16" s="33" t="s">
        <v>1</v>
      </c>
      <c r="W16" s="33">
        <f t="shared" si="9"/>
        <v>4.1211993306218533</v>
      </c>
      <c r="X16" s="33">
        <v>3225</v>
      </c>
    </row>
    <row r="18" spans="1:7" x14ac:dyDescent="0.25">
      <c r="A18" t="s">
        <v>103</v>
      </c>
      <c r="B18" t="s">
        <v>104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105</v>
      </c>
      <c r="D21">
        <v>321</v>
      </c>
      <c r="E21">
        <v>280</v>
      </c>
      <c r="F21" t="s">
        <v>106</v>
      </c>
      <c r="G21">
        <v>64.959999999999994</v>
      </c>
    </row>
    <row r="22" spans="1:7" x14ac:dyDescent="0.25">
      <c r="A22" t="s">
        <v>62</v>
      </c>
      <c r="B22" t="s">
        <v>107</v>
      </c>
      <c r="C22">
        <v>304</v>
      </c>
      <c r="D22">
        <v>235</v>
      </c>
      <c r="E22">
        <v>244</v>
      </c>
      <c r="F22">
        <v>91</v>
      </c>
      <c r="G22">
        <v>17.440000000000001</v>
      </c>
    </row>
    <row r="23" spans="1:7" x14ac:dyDescent="0.25">
      <c r="A23" t="s">
        <v>64</v>
      </c>
      <c r="B23" t="s">
        <v>65</v>
      </c>
      <c r="C23" t="s">
        <v>108</v>
      </c>
      <c r="D23">
        <v>86</v>
      </c>
      <c r="E23">
        <v>65</v>
      </c>
      <c r="F23" t="s">
        <v>109</v>
      </c>
      <c r="G23">
        <v>39.65</v>
      </c>
    </row>
    <row r="24" spans="1:7" x14ac:dyDescent="0.25">
      <c r="A24" t="s">
        <v>64</v>
      </c>
      <c r="B24" t="s">
        <v>68</v>
      </c>
      <c r="C24" t="s">
        <v>110</v>
      </c>
      <c r="D24">
        <v>104</v>
      </c>
      <c r="E24">
        <v>70</v>
      </c>
      <c r="F24" t="s">
        <v>111</v>
      </c>
      <c r="G24">
        <v>50.76</v>
      </c>
    </row>
    <row r="25" spans="1:7" x14ac:dyDescent="0.25">
      <c r="A25" t="s">
        <v>71</v>
      </c>
      <c r="B25" t="s">
        <v>72</v>
      </c>
      <c r="C25">
        <v>905</v>
      </c>
      <c r="D25">
        <v>44</v>
      </c>
      <c r="E25">
        <v>55</v>
      </c>
      <c r="F25">
        <v>858</v>
      </c>
      <c r="G25">
        <v>30.08</v>
      </c>
    </row>
    <row r="26" spans="1:7" x14ac:dyDescent="0.25">
      <c r="A26" t="s">
        <v>73</v>
      </c>
      <c r="B26" t="s">
        <v>74</v>
      </c>
      <c r="C26" t="s">
        <v>112</v>
      </c>
      <c r="D26">
        <v>67</v>
      </c>
      <c r="E26">
        <v>53</v>
      </c>
      <c r="F26" t="s">
        <v>113</v>
      </c>
      <c r="G26">
        <v>63.03</v>
      </c>
    </row>
    <row r="27" spans="1:7" x14ac:dyDescent="0.25">
      <c r="A27" t="s">
        <v>77</v>
      </c>
      <c r="B27" t="s">
        <v>78</v>
      </c>
      <c r="C27" t="s">
        <v>114</v>
      </c>
      <c r="D27">
        <v>26</v>
      </c>
      <c r="E27">
        <v>22</v>
      </c>
      <c r="F27" t="s">
        <v>115</v>
      </c>
      <c r="G27">
        <v>32.43</v>
      </c>
    </row>
    <row r="28" spans="1:7" x14ac:dyDescent="0.25">
      <c r="A28" t="s">
        <v>71</v>
      </c>
      <c r="B28" t="s">
        <v>81</v>
      </c>
      <c r="C28">
        <v>174</v>
      </c>
      <c r="D28">
        <v>30</v>
      </c>
      <c r="E28">
        <v>36</v>
      </c>
      <c r="F28">
        <v>142</v>
      </c>
      <c r="G28">
        <v>13.19</v>
      </c>
    </row>
    <row r="29" spans="1:7" x14ac:dyDescent="0.25">
      <c r="A29" t="s">
        <v>82</v>
      </c>
      <c r="B29" t="s">
        <v>83</v>
      </c>
      <c r="C29">
        <v>12</v>
      </c>
      <c r="D29">
        <v>20</v>
      </c>
      <c r="E29">
        <v>10</v>
      </c>
      <c r="F29">
        <v>-2</v>
      </c>
      <c r="G29">
        <v>3.46</v>
      </c>
    </row>
    <row r="30" spans="1:7" x14ac:dyDescent="0.25">
      <c r="A30" t="s">
        <v>84</v>
      </c>
      <c r="B30" t="s">
        <v>85</v>
      </c>
      <c r="C30" t="s">
        <v>116</v>
      </c>
      <c r="D30">
        <v>281</v>
      </c>
      <c r="E30">
        <v>280</v>
      </c>
      <c r="F30" t="s">
        <v>117</v>
      </c>
      <c r="G30">
        <v>49.44</v>
      </c>
    </row>
    <row r="31" spans="1:7" x14ac:dyDescent="0.25">
      <c r="A31" t="s">
        <v>88</v>
      </c>
      <c r="B31" t="s">
        <v>89</v>
      </c>
      <c r="C31" t="s">
        <v>118</v>
      </c>
      <c r="D31">
        <v>123</v>
      </c>
      <c r="E31">
        <v>151</v>
      </c>
      <c r="F31" t="s">
        <v>119</v>
      </c>
      <c r="G31">
        <v>44.79</v>
      </c>
    </row>
    <row r="32" spans="1:7" x14ac:dyDescent="0.25">
      <c r="A32" t="s">
        <v>92</v>
      </c>
      <c r="B32" t="s">
        <v>93</v>
      </c>
      <c r="C32" t="s">
        <v>120</v>
      </c>
      <c r="D32">
        <v>140</v>
      </c>
      <c r="E32">
        <v>130</v>
      </c>
      <c r="F32" t="s">
        <v>121</v>
      </c>
      <c r="G32">
        <v>42.43</v>
      </c>
    </row>
    <row r="33" spans="1:7" x14ac:dyDescent="0.25">
      <c r="A33" t="s">
        <v>96</v>
      </c>
      <c r="B33" t="s">
        <v>97</v>
      </c>
      <c r="C33">
        <v>268</v>
      </c>
      <c r="D33">
        <v>49</v>
      </c>
      <c r="E33">
        <v>48</v>
      </c>
      <c r="F33">
        <v>222</v>
      </c>
      <c r="G33">
        <v>16.37</v>
      </c>
    </row>
    <row r="34" spans="1:7" x14ac:dyDescent="0.25">
      <c r="A34" t="s">
        <v>82</v>
      </c>
      <c r="B34" t="s">
        <v>98</v>
      </c>
      <c r="C34">
        <v>318</v>
      </c>
      <c r="D34">
        <v>72</v>
      </c>
      <c r="E34">
        <v>64</v>
      </c>
      <c r="F34">
        <v>256</v>
      </c>
      <c r="G34">
        <v>17.829999999999998</v>
      </c>
    </row>
    <row r="35" spans="1:7" x14ac:dyDescent="0.25">
      <c r="A35" t="s">
        <v>82</v>
      </c>
      <c r="B35" t="s">
        <v>99</v>
      </c>
      <c r="C35">
        <v>315</v>
      </c>
      <c r="D35">
        <v>47</v>
      </c>
      <c r="E35">
        <v>43</v>
      </c>
      <c r="F35">
        <v>272</v>
      </c>
      <c r="G35">
        <v>17.75</v>
      </c>
    </row>
    <row r="36" spans="1:7" x14ac:dyDescent="0.25">
      <c r="A36" t="s">
        <v>82</v>
      </c>
      <c r="B36" t="s">
        <v>100</v>
      </c>
      <c r="C36">
        <v>174</v>
      </c>
      <c r="D36">
        <v>43</v>
      </c>
      <c r="E36">
        <v>44</v>
      </c>
      <c r="F36">
        <v>132</v>
      </c>
      <c r="G36">
        <v>13.19</v>
      </c>
    </row>
    <row r="37" spans="1:7" x14ac:dyDescent="0.25">
      <c r="A37" t="s">
        <v>101</v>
      </c>
      <c r="B37" t="s">
        <v>102</v>
      </c>
      <c r="C37">
        <v>526</v>
      </c>
      <c r="D37">
        <v>144</v>
      </c>
      <c r="E37">
        <v>135</v>
      </c>
      <c r="F37">
        <v>363</v>
      </c>
      <c r="G37">
        <v>22.93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83657/60</f>
        <v>1394.2833333333333</v>
      </c>
      <c r="H2" s="20">
        <f>2.84-1.77</f>
        <v>1.0699999999999998</v>
      </c>
      <c r="I2" s="20">
        <v>0</v>
      </c>
      <c r="J2" s="20">
        <v>2.1399999999999999E-2</v>
      </c>
      <c r="K2" s="20">
        <v>3467</v>
      </c>
      <c r="L2" s="20">
        <v>284</v>
      </c>
      <c r="M2" s="20">
        <v>234</v>
      </c>
      <c r="N2" s="20">
        <f t="shared" ref="N2:N13" si="0">K2-(L2+M2)/2</f>
        <v>3208</v>
      </c>
      <c r="O2" s="20" t="s">
        <v>1</v>
      </c>
      <c r="P2" s="20">
        <f t="shared" ref="P2:P16" si="1">SQRT((K2+(L2+M2)/2))</f>
        <v>61.040969848127411</v>
      </c>
      <c r="Q2" s="20">
        <f t="shared" ref="Q2:Q16" si="2">N2/G2</f>
        <v>2.3008236011331986</v>
      </c>
      <c r="R2" s="20">
        <f>(Q2/H2/J2)</f>
        <v>100.48142200773863</v>
      </c>
      <c r="S2" s="20" t="s">
        <v>1</v>
      </c>
      <c r="T2" s="20">
        <f>P2/N2*R2</f>
        <v>1.9119337440995448</v>
      </c>
      <c r="U2" s="20">
        <f>R2/60*1000</f>
        <v>1674.690366795644</v>
      </c>
      <c r="V2" s="20" t="s">
        <v>1</v>
      </c>
      <c r="W2" s="20">
        <f>T2/R2*U2</f>
        <v>31.865562401659083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1394.2833333333333</v>
      </c>
      <c r="H3" s="21">
        <f>H2</f>
        <v>1.0699999999999998</v>
      </c>
      <c r="I3" s="21">
        <v>0</v>
      </c>
      <c r="J3" s="21">
        <v>0.26</v>
      </c>
      <c r="K3" s="21">
        <v>283</v>
      </c>
      <c r="L3" s="21">
        <v>234</v>
      </c>
      <c r="M3" s="21">
        <v>233</v>
      </c>
      <c r="N3" s="21">
        <f t="shared" si="0"/>
        <v>49.5</v>
      </c>
      <c r="O3" s="21" t="s">
        <v>1</v>
      </c>
      <c r="P3" s="21">
        <f t="shared" si="1"/>
        <v>22.726636354727024</v>
      </c>
      <c r="Q3" s="21">
        <f t="shared" si="2"/>
        <v>3.5502109805515381E-2</v>
      </c>
      <c r="R3" s="21">
        <f>Q3/H3/J3</f>
        <v>0.12761362259351325</v>
      </c>
      <c r="S3" s="21" t="s">
        <v>1</v>
      </c>
      <c r="T3" s="21">
        <f>P3/N3*R3</f>
        <v>5.8590472618023276E-2</v>
      </c>
      <c r="U3" s="21">
        <f>R3/60*1000</f>
        <v>2.1268937098918874</v>
      </c>
      <c r="V3" s="21" t="s">
        <v>1</v>
      </c>
      <c r="W3" s="21">
        <f>T3/R3*U3</f>
        <v>0.97650787696705454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1394.2833333333333</v>
      </c>
      <c r="H4" s="19">
        <f>H2</f>
        <v>1.0699999999999998</v>
      </c>
      <c r="I4" s="19"/>
      <c r="J4" s="19">
        <v>8.1000000000000003E-2</v>
      </c>
      <c r="K4" s="19">
        <v>1418</v>
      </c>
      <c r="L4" s="19">
        <v>81</v>
      </c>
      <c r="M4" s="19">
        <v>66</v>
      </c>
      <c r="N4" s="19">
        <f t="shared" si="0"/>
        <v>1344.5</v>
      </c>
      <c r="O4" s="19" t="s">
        <v>1</v>
      </c>
      <c r="P4" s="19">
        <f t="shared" si="1"/>
        <v>38.619943034655037</v>
      </c>
      <c r="Q4" s="19">
        <f t="shared" si="2"/>
        <v>0.96429467946495817</v>
      </c>
      <c r="R4" s="19">
        <f>(Q4/H4/J4)</f>
        <v>11.126049145782373</v>
      </c>
      <c r="S4" s="19" t="s">
        <v>1</v>
      </c>
      <c r="T4" s="19">
        <f t="shared" ref="T4:T6" si="3">P4/N4*R4</f>
        <v>0.31958898044692269</v>
      </c>
      <c r="U4" s="19">
        <f t="shared" ref="U4:U6" si="4">R4/60*1000</f>
        <v>185.43415242970622</v>
      </c>
      <c r="V4" s="19" t="s">
        <v>1</v>
      </c>
      <c r="W4" s="19">
        <f t="shared" ref="W4:W6" si="5">T4/R4*U4</f>
        <v>5.3264830074487115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1394.2833333333333</v>
      </c>
      <c r="H5" s="19">
        <f>H2</f>
        <v>1.0699999999999998</v>
      </c>
      <c r="I5" s="19">
        <v>2E-3</v>
      </c>
      <c r="J5" s="19">
        <v>0.13700000000000001</v>
      </c>
      <c r="K5" s="19">
        <v>2369</v>
      </c>
      <c r="L5" s="19">
        <v>93</v>
      </c>
      <c r="M5" s="19">
        <v>76</v>
      </c>
      <c r="N5" s="19">
        <f t="shared" si="0"/>
        <v>2284.5</v>
      </c>
      <c r="O5" s="19" t="s">
        <v>1</v>
      </c>
      <c r="P5" s="19">
        <f t="shared" si="1"/>
        <v>49.532817404222023</v>
      </c>
      <c r="Q5" s="19">
        <f t="shared" si="2"/>
        <v>1.6384761585999976</v>
      </c>
      <c r="R5" s="19">
        <f>(Q5/H5/J5)</f>
        <v>11.177271018486922</v>
      </c>
      <c r="S5" s="19" t="s">
        <v>1</v>
      </c>
      <c r="T5" s="19">
        <f t="shared" si="3"/>
        <v>0.24234700128527703</v>
      </c>
      <c r="U5" s="19">
        <f t="shared" si="4"/>
        <v>186.28785030811537</v>
      </c>
      <c r="V5" s="19" t="s">
        <v>1</v>
      </c>
      <c r="W5" s="19">
        <f t="shared" si="5"/>
        <v>4.039116688087951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1394.2833333333333</v>
      </c>
      <c r="H6" s="19">
        <f>H2</f>
        <v>1.0699999999999998</v>
      </c>
      <c r="I6" s="19">
        <v>2E-3</v>
      </c>
      <c r="J6" s="19">
        <v>4.5999999999999999E-2</v>
      </c>
      <c r="K6" s="19">
        <v>823</v>
      </c>
      <c r="L6" s="19">
        <v>48</v>
      </c>
      <c r="M6" s="19">
        <v>46</v>
      </c>
      <c r="N6" s="19">
        <f t="shared" si="0"/>
        <v>776</v>
      </c>
      <c r="O6" s="19" t="s">
        <v>1</v>
      </c>
      <c r="P6" s="19">
        <f t="shared" si="1"/>
        <v>29.49576240750525</v>
      </c>
      <c r="Q6" s="19">
        <f t="shared" si="2"/>
        <v>0.5565583274561603</v>
      </c>
      <c r="R6" s="19">
        <f>(Q6/H6/J6)</f>
        <v>11.307564556199926</v>
      </c>
      <c r="S6" s="19" t="s">
        <v>1</v>
      </c>
      <c r="T6" s="19">
        <f t="shared" si="3"/>
        <v>0.42980056386237186</v>
      </c>
      <c r="U6" s="19">
        <f t="shared" si="4"/>
        <v>188.45940926999876</v>
      </c>
      <c r="V6" s="19" t="s">
        <v>1</v>
      </c>
      <c r="W6" s="19">
        <f t="shared" si="5"/>
        <v>7.1633427310395303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1394.2833333333333</v>
      </c>
      <c r="H7" s="23">
        <f>H2</f>
        <v>1.0699999999999998</v>
      </c>
      <c r="I7" s="23">
        <v>1E-3</v>
      </c>
      <c r="J7" s="23">
        <v>0.247</v>
      </c>
      <c r="K7" s="23">
        <v>3764</v>
      </c>
      <c r="L7" s="23">
        <v>73</v>
      </c>
      <c r="M7" s="23">
        <v>35</v>
      </c>
      <c r="N7" s="23">
        <f t="shared" si="0"/>
        <v>3710</v>
      </c>
      <c r="O7" s="23" t="s">
        <v>1</v>
      </c>
      <c r="P7" s="23">
        <f t="shared" si="1"/>
        <v>61.789966823101629</v>
      </c>
      <c r="Q7" s="23">
        <f t="shared" si="2"/>
        <v>2.6608651995648902</v>
      </c>
      <c r="R7" s="23">
        <f>Q7/H7/J7</f>
        <v>10.067975328483449</v>
      </c>
      <c r="S7" s="23" t="s">
        <v>1</v>
      </c>
      <c r="T7" s="23">
        <f>P7/N7*R7</f>
        <v>0.16768190337541727</v>
      </c>
      <c r="U7" s="23">
        <f>R7/60*1000</f>
        <v>167.79958880805748</v>
      </c>
      <c r="V7" s="23" t="s">
        <v>1</v>
      </c>
      <c r="W7" s="23">
        <f>T7/R7*U7</f>
        <v>2.7946983895902879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1394.2833333333333</v>
      </c>
      <c r="H8" s="25">
        <f>H2</f>
        <v>1.0699999999999998</v>
      </c>
      <c r="I8" s="25">
        <v>4.0000000000000001E-3</v>
      </c>
      <c r="J8" s="25">
        <v>1.55E-2</v>
      </c>
      <c r="K8" s="25">
        <v>1074</v>
      </c>
      <c r="L8" s="25">
        <v>29</v>
      </c>
      <c r="M8" s="25">
        <v>30</v>
      </c>
      <c r="N8" s="25">
        <f t="shared" si="0"/>
        <v>1044.5</v>
      </c>
      <c r="O8" s="25" t="s">
        <v>1</v>
      </c>
      <c r="P8" s="25">
        <f t="shared" si="1"/>
        <v>33.218970483746183</v>
      </c>
      <c r="Q8" s="25">
        <f t="shared" si="2"/>
        <v>0.74913037761334977</v>
      </c>
      <c r="R8" s="25">
        <f>Q8/H8/J8</f>
        <v>45.169151499146814</v>
      </c>
      <c r="S8" s="25" t="s">
        <v>1</v>
      </c>
      <c r="T8" s="25">
        <f>P8/N8*R8</f>
        <v>1.4365463958123674</v>
      </c>
      <c r="U8" s="25">
        <f>R8/60*1000</f>
        <v>752.81919165244688</v>
      </c>
      <c r="V8" s="25" t="s">
        <v>1</v>
      </c>
      <c r="W8" s="25">
        <f>T8/R8*U8</f>
        <v>23.942439930206124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1394.2833333333333</v>
      </c>
      <c r="H9" s="30">
        <f>H2</f>
        <v>1.0699999999999998</v>
      </c>
      <c r="J9" s="30">
        <v>0.19</v>
      </c>
      <c r="K9" s="30">
        <v>1590</v>
      </c>
      <c r="L9" s="30">
        <v>121</v>
      </c>
      <c r="M9" s="30">
        <v>109</v>
      </c>
      <c r="N9" s="30">
        <f t="shared" si="0"/>
        <v>1475</v>
      </c>
      <c r="P9" s="30">
        <f t="shared" si="1"/>
        <v>41.291645644125154</v>
      </c>
      <c r="Q9" s="30">
        <f t="shared" si="2"/>
        <v>1.0578911507704079</v>
      </c>
      <c r="R9" s="30">
        <f t="shared" ref="R9:R13" si="6">Q9/H9/J9</f>
        <v>5.203596413036931</v>
      </c>
      <c r="S9" s="30" t="s">
        <v>1</v>
      </c>
      <c r="T9" s="30">
        <f t="shared" ref="T9:T16" si="7">P9/N9*R9</f>
        <v>0.14567122655061809</v>
      </c>
      <c r="U9" s="30">
        <f t="shared" ref="U9:U16" si="8">R9/60*1000</f>
        <v>86.726606883948861</v>
      </c>
      <c r="V9" s="30" t="s">
        <v>1</v>
      </c>
      <c r="W9" s="30">
        <f t="shared" ref="W9:W16" si="9">T9/R9*U9</f>
        <v>2.4278537758436349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1394.2833333333333</v>
      </c>
      <c r="H10" s="30">
        <f>H2</f>
        <v>1.0699999999999998</v>
      </c>
      <c r="J10" s="30">
        <v>2.5000000000000001E-2</v>
      </c>
      <c r="K10" s="30">
        <v>213</v>
      </c>
      <c r="L10" s="30">
        <v>46</v>
      </c>
      <c r="M10" s="30">
        <v>44</v>
      </c>
      <c r="N10" s="30">
        <f t="shared" si="0"/>
        <v>168</v>
      </c>
      <c r="P10" s="30">
        <f t="shared" si="1"/>
        <v>16.06237840420901</v>
      </c>
      <c r="Q10" s="30">
        <f t="shared" si="2"/>
        <v>0.12049200903690067</v>
      </c>
      <c r="R10" s="30">
        <f t="shared" si="6"/>
        <v>4.5043741696037642</v>
      </c>
      <c r="S10" s="30" t="s">
        <v>1</v>
      </c>
      <c r="T10" s="30">
        <f t="shared" si="7"/>
        <v>0.43066049039476423</v>
      </c>
      <c r="U10" s="30">
        <f t="shared" si="8"/>
        <v>75.072902826729404</v>
      </c>
      <c r="V10" s="30" t="s">
        <v>1</v>
      </c>
      <c r="W10" s="30">
        <f t="shared" si="9"/>
        <v>7.1776748399127372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1394.2833333333333</v>
      </c>
      <c r="H11" s="32">
        <f>H2</f>
        <v>1.0699999999999998</v>
      </c>
      <c r="J11" s="32">
        <v>3.1E-2</v>
      </c>
      <c r="K11" s="32">
        <v>314</v>
      </c>
      <c r="L11" s="32">
        <v>69</v>
      </c>
      <c r="M11" s="32">
        <v>58</v>
      </c>
      <c r="N11" s="32">
        <f t="shared" si="0"/>
        <v>250.5</v>
      </c>
      <c r="P11" s="32">
        <f t="shared" si="1"/>
        <v>19.429359227725449</v>
      </c>
      <c r="Q11" s="32">
        <f t="shared" si="2"/>
        <v>0.17966219204609299</v>
      </c>
      <c r="R11" s="32">
        <f t="shared" si="6"/>
        <v>5.4164061515252646</v>
      </c>
      <c r="S11" s="32" t="s">
        <v>1</v>
      </c>
      <c r="T11" s="32">
        <f t="shared" si="7"/>
        <v>0.42010898539419672</v>
      </c>
      <c r="U11" s="32">
        <f t="shared" si="8"/>
        <v>90.273435858754411</v>
      </c>
      <c r="V11" s="32" t="s">
        <v>1</v>
      </c>
      <c r="W11" s="32">
        <f t="shared" si="9"/>
        <v>7.0018164232366127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1394.2833333333333</v>
      </c>
      <c r="H12" s="32">
        <f>H2</f>
        <v>1.0699999999999998</v>
      </c>
      <c r="J12" s="32">
        <v>0.03</v>
      </c>
      <c r="K12" s="32">
        <v>299</v>
      </c>
      <c r="L12" s="32">
        <v>38</v>
      </c>
      <c r="M12" s="32">
        <v>47</v>
      </c>
      <c r="N12" s="32">
        <f t="shared" si="0"/>
        <v>256.5</v>
      </c>
      <c r="P12" s="32">
        <f t="shared" si="1"/>
        <v>18.479718612576328</v>
      </c>
      <c r="Q12" s="32">
        <f t="shared" si="2"/>
        <v>0.18396547808312513</v>
      </c>
      <c r="R12" s="32">
        <f t="shared" si="6"/>
        <v>5.7310117782905037</v>
      </c>
      <c r="S12" s="32" t="s">
        <v>1</v>
      </c>
      <c r="T12" s="32">
        <f t="shared" si="7"/>
        <v>0.41289467847239442</v>
      </c>
      <c r="U12" s="32">
        <f t="shared" si="8"/>
        <v>95.516862971508402</v>
      </c>
      <c r="V12" s="32" t="s">
        <v>1</v>
      </c>
      <c r="W12" s="32">
        <f t="shared" si="9"/>
        <v>6.8815779745399075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1394.2833333333333</v>
      </c>
      <c r="H13" s="32">
        <f>H2</f>
        <v>1.0699999999999998</v>
      </c>
      <c r="J13" s="32">
        <v>1.7999999999999999E-2</v>
      </c>
      <c r="K13" s="32">
        <v>161</v>
      </c>
      <c r="L13" s="32">
        <v>26</v>
      </c>
      <c r="M13" s="32">
        <v>24</v>
      </c>
      <c r="N13" s="32">
        <f t="shared" si="0"/>
        <v>136</v>
      </c>
      <c r="P13" s="32">
        <f t="shared" si="1"/>
        <v>13.638181696985855</v>
      </c>
      <c r="Q13" s="32">
        <f t="shared" si="2"/>
        <v>9.7541150172729116E-2</v>
      </c>
      <c r="R13" s="32">
        <f t="shared" si="6"/>
        <v>5.0644418573587293</v>
      </c>
      <c r="S13" s="32" t="s">
        <v>1</v>
      </c>
      <c r="T13" s="32">
        <f t="shared" si="7"/>
        <v>0.50786601650352114</v>
      </c>
      <c r="U13" s="32">
        <f t="shared" si="8"/>
        <v>84.407364289312156</v>
      </c>
      <c r="V13" s="32" t="s">
        <v>1</v>
      </c>
      <c r="W13" s="32">
        <f t="shared" si="9"/>
        <v>8.4644336083920191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1394.2833333333333</v>
      </c>
      <c r="H14" s="22">
        <f>H2</f>
        <v>1.0699999999999998</v>
      </c>
      <c r="I14" s="22">
        <v>5.0000000000000001E-3</v>
      </c>
      <c r="J14" s="22">
        <f>J4+J5+J6</f>
        <v>0.26400000000000001</v>
      </c>
      <c r="K14" s="22">
        <f>K4+K5+K6</f>
        <v>4610</v>
      </c>
      <c r="L14" s="22">
        <f>L4+L5+L6</f>
        <v>222</v>
      </c>
      <c r="M14" s="22">
        <f>M4+M5+M6</f>
        <v>188</v>
      </c>
      <c r="N14" s="22">
        <f>N4+N5+N6</f>
        <v>4405</v>
      </c>
      <c r="O14" s="22" t="s">
        <v>1</v>
      </c>
      <c r="P14" s="22">
        <f>SQRT((K14+(L14+M14)/2))</f>
        <v>69.390201037322271</v>
      </c>
      <c r="Q14" s="22">
        <f>N14/G14</f>
        <v>3.159329165521116</v>
      </c>
      <c r="R14" s="22">
        <f>(Q14/H14/J14)</f>
        <v>11.184257878508625</v>
      </c>
      <c r="S14" s="22" t="s">
        <v>1</v>
      </c>
      <c r="T14" s="22">
        <f>P14/N14*R14</f>
        <v>0.17618113567377275</v>
      </c>
      <c r="U14" s="22">
        <f>R14/60*1000</f>
        <v>186.40429797514375</v>
      </c>
      <c r="V14" s="22" t="s">
        <v>1</v>
      </c>
      <c r="W14" s="22">
        <f>T14/R14*U14</f>
        <v>2.9363522612295458</v>
      </c>
      <c r="X14" s="22"/>
    </row>
    <row r="15" spans="1:25" s="31" customFormat="1" x14ac:dyDescent="0.25">
      <c r="B15" s="31" t="s">
        <v>44</v>
      </c>
      <c r="G15" s="31">
        <f>G14</f>
        <v>1394.2833333333333</v>
      </c>
      <c r="H15" s="31">
        <f>H14</f>
        <v>1.0699999999999998</v>
      </c>
      <c r="I15" s="31">
        <v>5.0000000000000001E-3</v>
      </c>
      <c r="J15" s="31">
        <f>J9+J10</f>
        <v>0.215</v>
      </c>
      <c r="K15" s="31">
        <f>K9+K10</f>
        <v>1803</v>
      </c>
      <c r="L15" s="31">
        <f>L9+L10</f>
        <v>167</v>
      </c>
      <c r="M15" s="31">
        <f>M9+M10</f>
        <v>153</v>
      </c>
      <c r="N15" s="31">
        <f>N9+N10</f>
        <v>1643</v>
      </c>
      <c r="O15" s="31" t="s">
        <v>1</v>
      </c>
      <c r="P15" s="31">
        <f>SQRT((K15+(L15+M15)/2))</f>
        <v>44.305755833751441</v>
      </c>
      <c r="Q15" s="31">
        <f>N15/G15</f>
        <v>1.1783831598073085</v>
      </c>
      <c r="R15" s="31">
        <f>(Q15/H15/J15)</f>
        <v>5.1222915010098182</v>
      </c>
      <c r="S15" s="31" t="s">
        <v>1</v>
      </c>
      <c r="T15" s="31">
        <f>P15/N15*R15</f>
        <v>0.13812963880282483</v>
      </c>
      <c r="U15" s="31">
        <f>R15/60*1000</f>
        <v>85.371525016830304</v>
      </c>
      <c r="V15" s="31" t="s">
        <v>1</v>
      </c>
      <c r="W15" s="31">
        <f>T15/R15*U15</f>
        <v>2.3021606467137472</v>
      </c>
      <c r="X15" s="31">
        <v>3225</v>
      </c>
    </row>
    <row r="16" spans="1:25" s="33" customFormat="1" x14ac:dyDescent="0.25">
      <c r="B16" s="33" t="s">
        <v>46</v>
      </c>
      <c r="G16" s="33">
        <f>G10</f>
        <v>1394.2833333333333</v>
      </c>
      <c r="H16" s="33">
        <f>H10</f>
        <v>1.0699999999999998</v>
      </c>
      <c r="I16" s="33">
        <v>5.0000000000000001E-3</v>
      </c>
      <c r="J16" s="33">
        <f>J11+J12+J13</f>
        <v>7.9000000000000001E-2</v>
      </c>
      <c r="K16" s="33">
        <f>K11+K12+K13</f>
        <v>774</v>
      </c>
      <c r="L16" s="33">
        <f>L11+L12+L13</f>
        <v>133</v>
      </c>
      <c r="M16" s="33">
        <f t="shared" ref="M16" si="10">M11+M12+M13</f>
        <v>129</v>
      </c>
      <c r="N16" s="33">
        <f>N11+N12+N13</f>
        <v>643</v>
      </c>
      <c r="O16" s="33" t="s">
        <v>1</v>
      </c>
      <c r="P16" s="33">
        <f t="shared" si="1"/>
        <v>30.083217912982647</v>
      </c>
      <c r="Q16" s="33">
        <f t="shared" si="2"/>
        <v>0.46116882030194722</v>
      </c>
      <c r="R16" s="33">
        <f>(Q16/H16/J16)</f>
        <v>5.455682246562727</v>
      </c>
      <c r="S16" s="33" t="s">
        <v>1</v>
      </c>
      <c r="T16" s="33">
        <f t="shared" si="7"/>
        <v>0.25524802159772514</v>
      </c>
      <c r="U16" s="33">
        <f t="shared" si="8"/>
        <v>90.928037442712125</v>
      </c>
      <c r="V16" s="33" t="s">
        <v>1</v>
      </c>
      <c r="W16" s="33">
        <f t="shared" si="9"/>
        <v>4.2541336932954197</v>
      </c>
      <c r="X16" s="33">
        <v>3225</v>
      </c>
    </row>
    <row r="18" spans="1:7" x14ac:dyDescent="0.25">
      <c r="A18" t="s">
        <v>311</v>
      </c>
      <c r="B18" t="s">
        <v>312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313</v>
      </c>
      <c r="D21">
        <v>284</v>
      </c>
      <c r="E21">
        <v>234</v>
      </c>
      <c r="F21" t="s">
        <v>314</v>
      </c>
      <c r="G21">
        <v>58.88</v>
      </c>
    </row>
    <row r="22" spans="1:7" x14ac:dyDescent="0.25">
      <c r="A22" t="s">
        <v>62</v>
      </c>
      <c r="B22" t="s">
        <v>190</v>
      </c>
      <c r="C22">
        <v>283</v>
      </c>
      <c r="D22">
        <v>234</v>
      </c>
      <c r="E22">
        <v>233</v>
      </c>
      <c r="F22">
        <v>75</v>
      </c>
      <c r="G22">
        <v>16.82</v>
      </c>
    </row>
    <row r="23" spans="1:7" x14ac:dyDescent="0.25">
      <c r="A23" t="s">
        <v>64</v>
      </c>
      <c r="B23" t="s">
        <v>65</v>
      </c>
      <c r="C23" t="s">
        <v>315</v>
      </c>
      <c r="D23">
        <v>81</v>
      </c>
      <c r="E23">
        <v>66</v>
      </c>
      <c r="F23" t="s">
        <v>316</v>
      </c>
      <c r="G23">
        <v>37.659999999999997</v>
      </c>
    </row>
    <row r="24" spans="1:7" x14ac:dyDescent="0.25">
      <c r="A24" t="s">
        <v>64</v>
      </c>
      <c r="B24" t="s">
        <v>68</v>
      </c>
      <c r="C24" t="s">
        <v>317</v>
      </c>
      <c r="D24">
        <v>93</v>
      </c>
      <c r="E24">
        <v>76</v>
      </c>
      <c r="F24" t="s">
        <v>318</v>
      </c>
      <c r="G24">
        <v>48.67</v>
      </c>
    </row>
    <row r="25" spans="1:7" x14ac:dyDescent="0.25">
      <c r="A25" t="s">
        <v>71</v>
      </c>
      <c r="B25" t="s">
        <v>72</v>
      </c>
      <c r="C25">
        <v>823</v>
      </c>
      <c r="D25">
        <v>48</v>
      </c>
      <c r="E25">
        <v>46</v>
      </c>
      <c r="F25">
        <v>778</v>
      </c>
      <c r="G25">
        <v>28.69</v>
      </c>
    </row>
    <row r="26" spans="1:7" x14ac:dyDescent="0.25">
      <c r="A26" t="s">
        <v>73</v>
      </c>
      <c r="B26" t="s">
        <v>74</v>
      </c>
      <c r="C26" t="s">
        <v>319</v>
      </c>
      <c r="D26">
        <v>73</v>
      </c>
      <c r="E26">
        <v>35</v>
      </c>
      <c r="F26" t="s">
        <v>320</v>
      </c>
      <c r="G26">
        <v>61.35</v>
      </c>
    </row>
    <row r="27" spans="1:7" x14ac:dyDescent="0.25">
      <c r="A27" t="s">
        <v>77</v>
      </c>
      <c r="B27" t="s">
        <v>78</v>
      </c>
      <c r="C27" t="s">
        <v>321</v>
      </c>
      <c r="D27">
        <v>29</v>
      </c>
      <c r="E27">
        <v>30</v>
      </c>
      <c r="F27" t="s">
        <v>322</v>
      </c>
      <c r="G27">
        <v>32.770000000000003</v>
      </c>
    </row>
    <row r="28" spans="1:7" x14ac:dyDescent="0.25">
      <c r="A28" t="s">
        <v>71</v>
      </c>
      <c r="B28" t="s">
        <v>81</v>
      </c>
      <c r="C28">
        <v>136</v>
      </c>
      <c r="D28">
        <v>30</v>
      </c>
      <c r="E28">
        <v>31</v>
      </c>
      <c r="F28">
        <v>106</v>
      </c>
      <c r="G28">
        <v>11.66</v>
      </c>
    </row>
    <row r="29" spans="1:7" x14ac:dyDescent="0.25">
      <c r="A29" t="s">
        <v>82</v>
      </c>
      <c r="B29" t="s">
        <v>83</v>
      </c>
      <c r="C29">
        <v>9</v>
      </c>
      <c r="D29">
        <v>18</v>
      </c>
      <c r="E29">
        <v>13</v>
      </c>
      <c r="F29">
        <v>-5</v>
      </c>
      <c r="G29">
        <v>3</v>
      </c>
    </row>
    <row r="30" spans="1:7" x14ac:dyDescent="0.25">
      <c r="A30" t="s">
        <v>84</v>
      </c>
      <c r="B30" t="s">
        <v>85</v>
      </c>
      <c r="C30" t="s">
        <v>323</v>
      </c>
      <c r="D30">
        <v>248</v>
      </c>
      <c r="E30">
        <v>254</v>
      </c>
      <c r="F30" t="s">
        <v>324</v>
      </c>
      <c r="G30">
        <v>48.74</v>
      </c>
    </row>
    <row r="31" spans="1:7" x14ac:dyDescent="0.25">
      <c r="A31" t="s">
        <v>88</v>
      </c>
      <c r="B31" t="s">
        <v>89</v>
      </c>
      <c r="C31" t="s">
        <v>325</v>
      </c>
      <c r="D31">
        <v>134</v>
      </c>
      <c r="E31">
        <v>122</v>
      </c>
      <c r="F31" t="s">
        <v>270</v>
      </c>
      <c r="G31">
        <v>44.12</v>
      </c>
    </row>
    <row r="32" spans="1:7" x14ac:dyDescent="0.25">
      <c r="A32" t="s">
        <v>92</v>
      </c>
      <c r="B32" t="s">
        <v>93</v>
      </c>
      <c r="C32" t="s">
        <v>326</v>
      </c>
      <c r="D32">
        <v>121</v>
      </c>
      <c r="E32">
        <v>109</v>
      </c>
      <c r="F32" t="s">
        <v>327</v>
      </c>
      <c r="G32">
        <v>39.869999999999997</v>
      </c>
    </row>
    <row r="33" spans="1:7" x14ac:dyDescent="0.25">
      <c r="A33" t="s">
        <v>96</v>
      </c>
      <c r="B33" t="s">
        <v>97</v>
      </c>
      <c r="C33">
        <v>213</v>
      </c>
      <c r="D33">
        <v>46</v>
      </c>
      <c r="E33">
        <v>44</v>
      </c>
      <c r="F33">
        <v>170</v>
      </c>
      <c r="G33">
        <v>14.59</v>
      </c>
    </row>
    <row r="34" spans="1:7" x14ac:dyDescent="0.25">
      <c r="A34" t="s">
        <v>82</v>
      </c>
      <c r="B34" t="s">
        <v>98</v>
      </c>
      <c r="C34">
        <v>314</v>
      </c>
      <c r="D34">
        <v>69</v>
      </c>
      <c r="E34">
        <v>58</v>
      </c>
      <c r="F34">
        <v>256</v>
      </c>
      <c r="G34">
        <v>17.72</v>
      </c>
    </row>
    <row r="35" spans="1:7" x14ac:dyDescent="0.25">
      <c r="A35" t="s">
        <v>82</v>
      </c>
      <c r="B35" t="s">
        <v>99</v>
      </c>
      <c r="C35">
        <v>299</v>
      </c>
      <c r="D35">
        <v>38</v>
      </c>
      <c r="E35">
        <v>47</v>
      </c>
      <c r="F35">
        <v>258</v>
      </c>
      <c r="G35">
        <v>17.29</v>
      </c>
    </row>
    <row r="36" spans="1:7" x14ac:dyDescent="0.25">
      <c r="A36" t="s">
        <v>82</v>
      </c>
      <c r="B36" t="s">
        <v>100</v>
      </c>
      <c r="C36">
        <v>161</v>
      </c>
      <c r="D36">
        <v>26</v>
      </c>
      <c r="E36">
        <v>24</v>
      </c>
      <c r="F36">
        <v>137</v>
      </c>
      <c r="G36">
        <v>12.69</v>
      </c>
    </row>
    <row r="37" spans="1:7" x14ac:dyDescent="0.25">
      <c r="A37" t="s">
        <v>101</v>
      </c>
      <c r="B37" t="s">
        <v>102</v>
      </c>
      <c r="C37">
        <v>495</v>
      </c>
      <c r="D37">
        <v>117</v>
      </c>
      <c r="E37">
        <v>116</v>
      </c>
      <c r="F37">
        <v>359</v>
      </c>
      <c r="G37">
        <v>22.25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81447/60</f>
        <v>1357.45</v>
      </c>
      <c r="H2" s="20">
        <f>2.83-1.77</f>
        <v>1.06</v>
      </c>
      <c r="I2" s="20">
        <v>0</v>
      </c>
      <c r="J2" s="20">
        <v>2.1399999999999999E-2</v>
      </c>
      <c r="K2" s="20">
        <v>2202</v>
      </c>
      <c r="L2" s="20">
        <v>243</v>
      </c>
      <c r="M2" s="20">
        <v>208</v>
      </c>
      <c r="N2" s="20">
        <f t="shared" ref="N2:N13" si="0">K2-(L2+M2)/2</f>
        <v>1976.5</v>
      </c>
      <c r="O2" s="20" t="s">
        <v>1</v>
      </c>
      <c r="P2" s="20">
        <f t="shared" ref="P2:P16" si="1">SQRT((K2+(L2+M2)/2))</f>
        <v>49.269666124300052</v>
      </c>
      <c r="Q2" s="20">
        <f t="shared" ref="Q2:Q16" si="2">N2/G2</f>
        <v>1.4560388964602746</v>
      </c>
      <c r="R2" s="20">
        <f>(Q2/H2/J2)</f>
        <v>64.187925253935575</v>
      </c>
      <c r="S2" s="20" t="s">
        <v>1</v>
      </c>
      <c r="T2" s="20">
        <f>P2/N2*R2</f>
        <v>1.6000595226273377</v>
      </c>
      <c r="U2" s="20">
        <f>R2/60*1000</f>
        <v>1069.7987542322596</v>
      </c>
      <c r="V2" s="20" t="s">
        <v>1</v>
      </c>
      <c r="W2" s="20">
        <f>T2/R2*U2</f>
        <v>26.66765871045563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1357.45</v>
      </c>
      <c r="H3" s="21">
        <f>H2</f>
        <v>1.06</v>
      </c>
      <c r="I3" s="21">
        <v>0</v>
      </c>
      <c r="J3" s="21">
        <v>0.26</v>
      </c>
      <c r="K3" s="21">
        <v>261</v>
      </c>
      <c r="L3" s="21">
        <v>176</v>
      </c>
      <c r="M3" s="21">
        <v>185</v>
      </c>
      <c r="N3" s="21">
        <f t="shared" si="0"/>
        <v>80.5</v>
      </c>
      <c r="O3" s="21" t="s">
        <v>1</v>
      </c>
      <c r="P3" s="21">
        <f t="shared" si="1"/>
        <v>21.011901389450696</v>
      </c>
      <c r="Q3" s="21">
        <f t="shared" si="2"/>
        <v>5.9302368411359531E-2</v>
      </c>
      <c r="R3" s="21">
        <f>Q3/H3/J3</f>
        <v>0.21517550221828566</v>
      </c>
      <c r="S3" s="21" t="s">
        <v>1</v>
      </c>
      <c r="T3" s="21">
        <f>P3/N3*R3</f>
        <v>5.616455197560432E-2</v>
      </c>
      <c r="U3" s="21">
        <f>R3/60*1000</f>
        <v>3.586258370304761</v>
      </c>
      <c r="V3" s="21" t="s">
        <v>1</v>
      </c>
      <c r="W3" s="21">
        <f>T3/R3*U3</f>
        <v>0.936075866260072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1357.45</v>
      </c>
      <c r="H4" s="19">
        <f>H2</f>
        <v>1.06</v>
      </c>
      <c r="I4" s="19"/>
      <c r="J4" s="19">
        <v>8.1000000000000003E-2</v>
      </c>
      <c r="K4" s="19">
        <v>1335</v>
      </c>
      <c r="L4" s="19">
        <v>68</v>
      </c>
      <c r="M4" s="19">
        <v>64</v>
      </c>
      <c r="N4" s="19">
        <f t="shared" si="0"/>
        <v>1269</v>
      </c>
      <c r="O4" s="19" t="s">
        <v>1</v>
      </c>
      <c r="P4" s="19">
        <f t="shared" si="1"/>
        <v>37.429934544425805</v>
      </c>
      <c r="Q4" s="19">
        <f t="shared" si="2"/>
        <v>0.93484106228590369</v>
      </c>
      <c r="R4" s="19">
        <f>(Q4/H4/J4)</f>
        <v>10.887969511832093</v>
      </c>
      <c r="S4" s="19" t="s">
        <v>1</v>
      </c>
      <c r="T4" s="19">
        <f t="shared" ref="T4:T6" si="3">P4/N4*R4</f>
        <v>0.32114734921164623</v>
      </c>
      <c r="U4" s="19">
        <f t="shared" ref="U4:U6" si="4">R4/60*1000</f>
        <v>181.46615853053487</v>
      </c>
      <c r="V4" s="19" t="s">
        <v>1</v>
      </c>
      <c r="W4" s="19">
        <f t="shared" ref="W4:W6" si="5">T4/R4*U4</f>
        <v>5.3524558201941028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1357.45</v>
      </c>
      <c r="H5" s="19">
        <f>H2</f>
        <v>1.06</v>
      </c>
      <c r="I5" s="19">
        <v>2E-3</v>
      </c>
      <c r="J5" s="19">
        <v>0.13700000000000001</v>
      </c>
      <c r="K5" s="19">
        <v>2099</v>
      </c>
      <c r="L5" s="19">
        <v>64</v>
      </c>
      <c r="M5" s="19">
        <v>58</v>
      </c>
      <c r="N5" s="19">
        <f t="shared" si="0"/>
        <v>2038</v>
      </c>
      <c r="O5" s="19" t="s">
        <v>1</v>
      </c>
      <c r="P5" s="19">
        <f t="shared" si="1"/>
        <v>46.475800154489001</v>
      </c>
      <c r="Q5" s="19">
        <f t="shared" si="2"/>
        <v>1.5013444325757854</v>
      </c>
      <c r="R5" s="19">
        <f>(Q5/H5/J5)</f>
        <v>10.33841366599494</v>
      </c>
      <c r="S5" s="19" t="s">
        <v>1</v>
      </c>
      <c r="T5" s="19">
        <f t="shared" si="3"/>
        <v>0.23576351690638803</v>
      </c>
      <c r="U5" s="19">
        <f t="shared" si="4"/>
        <v>172.306894433249</v>
      </c>
      <c r="V5" s="19" t="s">
        <v>1</v>
      </c>
      <c r="W5" s="19">
        <f t="shared" si="5"/>
        <v>3.9293919484398003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1357.45</v>
      </c>
      <c r="H6" s="19">
        <f>H2</f>
        <v>1.06</v>
      </c>
      <c r="I6" s="19">
        <v>2E-3</v>
      </c>
      <c r="J6" s="19">
        <v>4.5999999999999999E-2</v>
      </c>
      <c r="K6" s="19">
        <v>691</v>
      </c>
      <c r="L6" s="19">
        <v>49</v>
      </c>
      <c r="M6" s="19">
        <v>41</v>
      </c>
      <c r="N6" s="19">
        <f t="shared" si="0"/>
        <v>646</v>
      </c>
      <c r="O6" s="19" t="s">
        <v>1</v>
      </c>
      <c r="P6" s="19">
        <f t="shared" si="1"/>
        <v>27.129319932501073</v>
      </c>
      <c r="Q6" s="19">
        <f t="shared" si="2"/>
        <v>0.47589229805886035</v>
      </c>
      <c r="R6" s="19">
        <f>(Q6/H6/J6)</f>
        <v>9.7598912645377425</v>
      </c>
      <c r="S6" s="19" t="s">
        <v>1</v>
      </c>
      <c r="T6" s="19">
        <f t="shared" si="3"/>
        <v>0.40987494213942238</v>
      </c>
      <c r="U6" s="19">
        <f t="shared" si="4"/>
        <v>162.66485440896236</v>
      </c>
      <c r="V6" s="19" t="s">
        <v>1</v>
      </c>
      <c r="W6" s="19">
        <f t="shared" si="5"/>
        <v>6.8312490356570388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1357.45</v>
      </c>
      <c r="H7" s="23">
        <f>H2</f>
        <v>1.06</v>
      </c>
      <c r="I7" s="23">
        <v>1E-3</v>
      </c>
      <c r="J7" s="23">
        <v>0.247</v>
      </c>
      <c r="K7" s="23">
        <v>3246</v>
      </c>
      <c r="L7" s="23">
        <v>51</v>
      </c>
      <c r="M7" s="23">
        <v>34</v>
      </c>
      <c r="N7" s="23">
        <f t="shared" si="0"/>
        <v>3203.5</v>
      </c>
      <c r="O7" s="23" t="s">
        <v>1</v>
      </c>
      <c r="P7" s="23">
        <f t="shared" si="1"/>
        <v>57.345444457253969</v>
      </c>
      <c r="Q7" s="23">
        <f t="shared" si="2"/>
        <v>2.3599395926185127</v>
      </c>
      <c r="R7" s="23">
        <f>Q7/H7/J7</f>
        <v>9.0135955718375698</v>
      </c>
      <c r="S7" s="23" t="s">
        <v>1</v>
      </c>
      <c r="T7" s="23">
        <f>P7/N7*R7</f>
        <v>0.16135122341968525</v>
      </c>
      <c r="U7" s="23">
        <f>R7/60*1000</f>
        <v>150.2265928639595</v>
      </c>
      <c r="V7" s="23" t="s">
        <v>1</v>
      </c>
      <c r="W7" s="23">
        <f>T7/R7*U7</f>
        <v>2.6891870569947542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1357.45</v>
      </c>
      <c r="H8" s="25">
        <f>H2</f>
        <v>1.06</v>
      </c>
      <c r="I8" s="25">
        <v>4.0000000000000001E-3</v>
      </c>
      <c r="J8" s="25">
        <v>1.55E-2</v>
      </c>
      <c r="K8" s="25">
        <v>1139</v>
      </c>
      <c r="L8" s="25">
        <v>30</v>
      </c>
      <c r="M8" s="25">
        <v>26</v>
      </c>
      <c r="N8" s="25">
        <f t="shared" si="0"/>
        <v>1111</v>
      </c>
      <c r="O8" s="25" t="s">
        <v>1</v>
      </c>
      <c r="P8" s="25">
        <f t="shared" si="1"/>
        <v>34.161381705077446</v>
      </c>
      <c r="Q8" s="25">
        <f t="shared" si="2"/>
        <v>0.81844635161516077</v>
      </c>
      <c r="R8" s="25">
        <f>Q8/H8/J8</f>
        <v>49.814141912060911</v>
      </c>
      <c r="S8" s="25" t="s">
        <v>1</v>
      </c>
      <c r="T8" s="25">
        <f>P8/N8*R8</f>
        <v>1.5317010946613945</v>
      </c>
      <c r="U8" s="25">
        <f>R8/60*1000</f>
        <v>830.23569853434856</v>
      </c>
      <c r="V8" s="25" t="s">
        <v>1</v>
      </c>
      <c r="W8" s="25">
        <f>T8/R8*U8</f>
        <v>25.528351577689911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1357.45</v>
      </c>
      <c r="H9" s="30">
        <f>H2</f>
        <v>1.06</v>
      </c>
      <c r="J9" s="30">
        <v>0.19</v>
      </c>
      <c r="K9" s="30">
        <v>1557</v>
      </c>
      <c r="L9" s="30">
        <v>117</v>
      </c>
      <c r="M9" s="30">
        <v>96</v>
      </c>
      <c r="N9" s="30">
        <f t="shared" si="0"/>
        <v>1450.5</v>
      </c>
      <c r="P9" s="30">
        <f t="shared" si="1"/>
        <v>40.786027019066225</v>
      </c>
      <c r="Q9" s="30">
        <f t="shared" si="2"/>
        <v>1.0685476444804596</v>
      </c>
      <c r="R9" s="30">
        <f t="shared" ref="R9:R13" si="6">Q9/H9/J9</f>
        <v>5.3055990291979125</v>
      </c>
      <c r="S9" s="30" t="s">
        <v>1</v>
      </c>
      <c r="T9" s="30">
        <f t="shared" ref="T9:T16" si="7">P9/N9*R9</f>
        <v>0.14918600851926755</v>
      </c>
      <c r="U9" s="30">
        <f t="shared" ref="U9:U16" si="8">R9/60*1000</f>
        <v>88.426650486631871</v>
      </c>
      <c r="V9" s="30" t="s">
        <v>1</v>
      </c>
      <c r="W9" s="30">
        <f t="shared" ref="W9:W16" si="9">T9/R9*U9</f>
        <v>2.4864334753211259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1357.45</v>
      </c>
      <c r="H10" s="30">
        <f>H2</f>
        <v>1.06</v>
      </c>
      <c r="J10" s="30">
        <v>2.5000000000000001E-2</v>
      </c>
      <c r="K10" s="30">
        <v>230</v>
      </c>
      <c r="L10" s="30">
        <v>40</v>
      </c>
      <c r="M10" s="30">
        <v>49</v>
      </c>
      <c r="N10" s="30">
        <f t="shared" si="0"/>
        <v>185.5</v>
      </c>
      <c r="P10" s="30">
        <f t="shared" si="1"/>
        <v>16.568041525780892</v>
      </c>
      <c r="Q10" s="30">
        <f t="shared" si="2"/>
        <v>0.13665328373052413</v>
      </c>
      <c r="R10" s="30">
        <f t="shared" si="6"/>
        <v>5.1567276879443069</v>
      </c>
      <c r="S10" s="30" t="s">
        <v>1</v>
      </c>
      <c r="T10" s="30">
        <f t="shared" si="7"/>
        <v>0.46057616426417985</v>
      </c>
      <c r="U10" s="30">
        <f t="shared" si="8"/>
        <v>85.945461465738447</v>
      </c>
      <c r="V10" s="30" t="s">
        <v>1</v>
      </c>
      <c r="W10" s="30">
        <f t="shared" si="9"/>
        <v>7.6762694044029969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1357.45</v>
      </c>
      <c r="H11" s="32">
        <f>H2</f>
        <v>1.06</v>
      </c>
      <c r="J11" s="32">
        <v>3.1E-2</v>
      </c>
      <c r="K11" s="32">
        <v>267</v>
      </c>
      <c r="L11" s="32">
        <v>50</v>
      </c>
      <c r="M11" s="32">
        <v>53</v>
      </c>
      <c r="N11" s="32">
        <f t="shared" si="0"/>
        <v>215.5</v>
      </c>
      <c r="P11" s="32">
        <f t="shared" si="1"/>
        <v>17.846568297574748</v>
      </c>
      <c r="Q11" s="32">
        <f t="shared" si="2"/>
        <v>0.15875354525028545</v>
      </c>
      <c r="R11" s="32">
        <f t="shared" si="6"/>
        <v>4.8312095328753939</v>
      </c>
      <c r="S11" s="32" t="s">
        <v>1</v>
      </c>
      <c r="T11" s="32">
        <f t="shared" si="7"/>
        <v>0.40009517813621764</v>
      </c>
      <c r="U11" s="32">
        <f t="shared" si="8"/>
        <v>80.520158881256563</v>
      </c>
      <c r="V11" s="32" t="s">
        <v>1</v>
      </c>
      <c r="W11" s="32">
        <f t="shared" si="9"/>
        <v>6.6682529689369607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1357.45</v>
      </c>
      <c r="H12" s="32">
        <f>H2</f>
        <v>1.06</v>
      </c>
      <c r="J12" s="32">
        <v>0.03</v>
      </c>
      <c r="K12" s="32">
        <v>215</v>
      </c>
      <c r="L12" s="32">
        <v>29</v>
      </c>
      <c r="M12" s="32">
        <v>36</v>
      </c>
      <c r="N12" s="32">
        <f t="shared" si="0"/>
        <v>182.5</v>
      </c>
      <c r="P12" s="32">
        <f t="shared" si="1"/>
        <v>15.732132722552274</v>
      </c>
      <c r="Q12" s="32">
        <f t="shared" si="2"/>
        <v>0.134443257578548</v>
      </c>
      <c r="R12" s="32">
        <f t="shared" si="6"/>
        <v>4.2277753955518245</v>
      </c>
      <c r="S12" s="32" t="s">
        <v>1</v>
      </c>
      <c r="T12" s="32">
        <f t="shared" si="7"/>
        <v>0.36444889667924518</v>
      </c>
      <c r="U12" s="32">
        <f t="shared" si="8"/>
        <v>70.462923259197083</v>
      </c>
      <c r="V12" s="32" t="s">
        <v>1</v>
      </c>
      <c r="W12" s="32">
        <f t="shared" si="9"/>
        <v>6.0741482779874207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1357.45</v>
      </c>
      <c r="H13" s="32">
        <f>H2</f>
        <v>1.06</v>
      </c>
      <c r="J13" s="32">
        <v>1.7999999999999999E-2</v>
      </c>
      <c r="K13" s="32">
        <v>130</v>
      </c>
      <c r="L13" s="32">
        <v>34</v>
      </c>
      <c r="M13" s="32">
        <v>34</v>
      </c>
      <c r="N13" s="32">
        <f t="shared" si="0"/>
        <v>96</v>
      </c>
      <c r="P13" s="32">
        <f t="shared" si="1"/>
        <v>12.806248474865697</v>
      </c>
      <c r="Q13" s="32">
        <f t="shared" si="2"/>
        <v>7.0720836863236214E-2</v>
      </c>
      <c r="R13" s="32">
        <f t="shared" si="6"/>
        <v>3.7065428125385855</v>
      </c>
      <c r="S13" s="32" t="s">
        <v>1</v>
      </c>
      <c r="T13" s="32">
        <f t="shared" si="7"/>
        <v>0.49444696083434037</v>
      </c>
      <c r="U13" s="32">
        <f t="shared" si="8"/>
        <v>61.775713542309752</v>
      </c>
      <c r="V13" s="32" t="s">
        <v>1</v>
      </c>
      <c r="W13" s="32">
        <f t="shared" si="9"/>
        <v>8.2407826805723392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1357.45</v>
      </c>
      <c r="H14" s="22">
        <f>H2</f>
        <v>1.06</v>
      </c>
      <c r="I14" s="22">
        <v>5.0000000000000001E-3</v>
      </c>
      <c r="J14" s="22">
        <f>J4+J5+J6</f>
        <v>0.26400000000000001</v>
      </c>
      <c r="K14" s="22">
        <f>K4+K5+K6</f>
        <v>4125</v>
      </c>
      <c r="L14" s="22">
        <f>L4+L5+L6</f>
        <v>181</v>
      </c>
      <c r="M14" s="22">
        <f>M4+M5+M6</f>
        <v>163</v>
      </c>
      <c r="N14" s="22">
        <f>N4+N5+N6</f>
        <v>3953</v>
      </c>
      <c r="O14" s="22" t="s">
        <v>1</v>
      </c>
      <c r="P14" s="22">
        <f>SQRT((K14+(L14+M14)/2))</f>
        <v>65.551506466289538</v>
      </c>
      <c r="Q14" s="22">
        <f>N14/G14</f>
        <v>2.9120777929205492</v>
      </c>
      <c r="R14" s="22">
        <f>(Q14/H14/J14)</f>
        <v>10.406224245713796</v>
      </c>
      <c r="S14" s="22" t="s">
        <v>1</v>
      </c>
      <c r="T14" s="22">
        <f>P14/N14*R14</f>
        <v>0.17256354058501563</v>
      </c>
      <c r="U14" s="22">
        <f>R14/60*1000</f>
        <v>173.43707076189659</v>
      </c>
      <c r="V14" s="22" t="s">
        <v>1</v>
      </c>
      <c r="W14" s="22">
        <f>T14/R14*U14</f>
        <v>2.8760590097502607</v>
      </c>
      <c r="X14" s="22"/>
    </row>
    <row r="15" spans="1:25" s="31" customFormat="1" x14ac:dyDescent="0.25">
      <c r="B15" s="31" t="s">
        <v>44</v>
      </c>
      <c r="G15" s="31">
        <f>G14</f>
        <v>1357.45</v>
      </c>
      <c r="H15" s="31">
        <f>H14</f>
        <v>1.06</v>
      </c>
      <c r="I15" s="31">
        <v>5.0000000000000001E-3</v>
      </c>
      <c r="J15" s="31">
        <f>J9+J10</f>
        <v>0.215</v>
      </c>
      <c r="K15" s="31">
        <f>K9+K10</f>
        <v>1787</v>
      </c>
      <c r="L15" s="31">
        <f>L9+L10</f>
        <v>157</v>
      </c>
      <c r="M15" s="31">
        <f>M9+M10</f>
        <v>145</v>
      </c>
      <c r="N15" s="31">
        <f>N9+N10</f>
        <v>1636</v>
      </c>
      <c r="O15" s="31" t="s">
        <v>1</v>
      </c>
      <c r="P15" s="31">
        <f>SQRT((K15+(L15+M15)/2))</f>
        <v>44.022721406110279</v>
      </c>
      <c r="Q15" s="31">
        <f>N15/G15</f>
        <v>1.2052009282109837</v>
      </c>
      <c r="R15" s="31">
        <f>(Q15/H15/J15)</f>
        <v>5.288288408121911</v>
      </c>
      <c r="S15" s="31" t="s">
        <v>1</v>
      </c>
      <c r="T15" s="31">
        <f>P15/N15*R15</f>
        <v>0.14230125140948247</v>
      </c>
      <c r="U15" s="31">
        <f>R15/60*1000</f>
        <v>88.138140135365177</v>
      </c>
      <c r="V15" s="31" t="s">
        <v>1</v>
      </c>
      <c r="W15" s="31">
        <f>T15/R15*U15</f>
        <v>2.3716875234913743</v>
      </c>
      <c r="X15" s="31">
        <v>3225</v>
      </c>
    </row>
    <row r="16" spans="1:25" s="33" customFormat="1" x14ac:dyDescent="0.25">
      <c r="B16" s="33" t="s">
        <v>46</v>
      </c>
      <c r="G16" s="33">
        <f>G10</f>
        <v>1357.45</v>
      </c>
      <c r="H16" s="33">
        <f>H10</f>
        <v>1.06</v>
      </c>
      <c r="I16" s="33">
        <v>5.0000000000000001E-3</v>
      </c>
      <c r="J16" s="33">
        <f>J11+J12+J13</f>
        <v>7.9000000000000001E-2</v>
      </c>
      <c r="K16" s="33">
        <f>K11+K12+K13</f>
        <v>612</v>
      </c>
      <c r="L16" s="33">
        <f>L11+L12+L13</f>
        <v>113</v>
      </c>
      <c r="M16" s="33">
        <f t="shared" ref="M16" si="10">M11+M12+M13</f>
        <v>123</v>
      </c>
      <c r="N16" s="33">
        <f>N11+N12+N13</f>
        <v>494</v>
      </c>
      <c r="O16" s="33" t="s">
        <v>1</v>
      </c>
      <c r="P16" s="33">
        <f t="shared" si="1"/>
        <v>27.018512172212592</v>
      </c>
      <c r="Q16" s="33">
        <f t="shared" si="2"/>
        <v>0.36391763969206969</v>
      </c>
      <c r="R16" s="33">
        <f>(Q16/H16/J16)</f>
        <v>4.3458041520428674</v>
      </c>
      <c r="S16" s="33" t="s">
        <v>1</v>
      </c>
      <c r="T16" s="33">
        <f t="shared" si="7"/>
        <v>0.23768656352231221</v>
      </c>
      <c r="U16" s="33">
        <f t="shared" si="8"/>
        <v>72.430069200714456</v>
      </c>
      <c r="V16" s="33" t="s">
        <v>1</v>
      </c>
      <c r="W16" s="33">
        <f t="shared" si="9"/>
        <v>3.96144272537187</v>
      </c>
      <c r="X16" s="33">
        <v>3225</v>
      </c>
    </row>
    <row r="18" spans="1:7" x14ac:dyDescent="0.25">
      <c r="A18" t="s">
        <v>186</v>
      </c>
      <c r="B18" t="s">
        <v>187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188</v>
      </c>
      <c r="D21">
        <v>243</v>
      </c>
      <c r="E21">
        <v>208</v>
      </c>
      <c r="F21" t="s">
        <v>189</v>
      </c>
      <c r="G21">
        <v>46.93</v>
      </c>
    </row>
    <row r="22" spans="1:7" x14ac:dyDescent="0.25">
      <c r="A22" t="s">
        <v>62</v>
      </c>
      <c r="B22" t="s">
        <v>190</v>
      </c>
      <c r="C22">
        <v>261</v>
      </c>
      <c r="D22">
        <v>176</v>
      </c>
      <c r="E22">
        <v>185</v>
      </c>
      <c r="F22">
        <v>100</v>
      </c>
      <c r="G22">
        <v>16.16</v>
      </c>
    </row>
    <row r="23" spans="1:7" x14ac:dyDescent="0.25">
      <c r="A23" t="s">
        <v>64</v>
      </c>
      <c r="B23" t="s">
        <v>65</v>
      </c>
      <c r="C23" t="s">
        <v>191</v>
      </c>
      <c r="D23">
        <v>68</v>
      </c>
      <c r="E23">
        <v>64</v>
      </c>
      <c r="F23" t="s">
        <v>192</v>
      </c>
      <c r="G23">
        <v>36.54</v>
      </c>
    </row>
    <row r="24" spans="1:7" x14ac:dyDescent="0.25">
      <c r="A24" t="s">
        <v>64</v>
      </c>
      <c r="B24" t="s">
        <v>68</v>
      </c>
      <c r="C24" t="s">
        <v>193</v>
      </c>
      <c r="D24">
        <v>64</v>
      </c>
      <c r="E24">
        <v>58</v>
      </c>
      <c r="F24" t="s">
        <v>194</v>
      </c>
      <c r="G24">
        <v>45.81</v>
      </c>
    </row>
    <row r="25" spans="1:7" x14ac:dyDescent="0.25">
      <c r="A25" t="s">
        <v>71</v>
      </c>
      <c r="B25" t="s">
        <v>72</v>
      </c>
      <c r="C25">
        <v>691</v>
      </c>
      <c r="D25">
        <v>49</v>
      </c>
      <c r="E25">
        <v>41</v>
      </c>
      <c r="F25">
        <v>648</v>
      </c>
      <c r="G25">
        <v>26.29</v>
      </c>
    </row>
    <row r="26" spans="1:7" x14ac:dyDescent="0.25">
      <c r="A26" t="s">
        <v>73</v>
      </c>
      <c r="B26" t="s">
        <v>74</v>
      </c>
      <c r="C26" t="s">
        <v>195</v>
      </c>
      <c r="D26">
        <v>51</v>
      </c>
      <c r="E26">
        <v>34</v>
      </c>
      <c r="F26" t="s">
        <v>196</v>
      </c>
      <c r="G26">
        <v>56.97</v>
      </c>
    </row>
    <row r="27" spans="1:7" x14ac:dyDescent="0.25">
      <c r="A27" t="s">
        <v>77</v>
      </c>
      <c r="B27" t="s">
        <v>78</v>
      </c>
      <c r="C27" t="s">
        <v>197</v>
      </c>
      <c r="D27">
        <v>30</v>
      </c>
      <c r="E27">
        <v>26</v>
      </c>
      <c r="F27" t="s">
        <v>198</v>
      </c>
      <c r="G27">
        <v>33.75</v>
      </c>
    </row>
    <row r="28" spans="1:7" x14ac:dyDescent="0.25">
      <c r="A28" t="s">
        <v>71</v>
      </c>
      <c r="B28" t="s">
        <v>81</v>
      </c>
      <c r="C28">
        <v>132</v>
      </c>
      <c r="D28">
        <v>28</v>
      </c>
      <c r="E28">
        <v>22</v>
      </c>
      <c r="F28">
        <v>108</v>
      </c>
      <c r="G28">
        <v>11.49</v>
      </c>
    </row>
    <row r="29" spans="1:7" x14ac:dyDescent="0.25">
      <c r="A29" t="s">
        <v>82</v>
      </c>
      <c r="B29" t="s">
        <v>83</v>
      </c>
      <c r="C29">
        <v>3</v>
      </c>
      <c r="D29">
        <v>15</v>
      </c>
      <c r="E29">
        <v>8</v>
      </c>
      <c r="F29">
        <v>-8</v>
      </c>
      <c r="G29">
        <v>1.73</v>
      </c>
    </row>
    <row r="30" spans="1:7" x14ac:dyDescent="0.25">
      <c r="A30" t="s">
        <v>84</v>
      </c>
      <c r="B30" t="s">
        <v>85</v>
      </c>
      <c r="C30" t="s">
        <v>199</v>
      </c>
      <c r="D30">
        <v>222</v>
      </c>
      <c r="E30">
        <v>208</v>
      </c>
      <c r="F30" t="s">
        <v>200</v>
      </c>
      <c r="G30">
        <v>46.32</v>
      </c>
    </row>
    <row r="31" spans="1:7" x14ac:dyDescent="0.25">
      <c r="A31" t="s">
        <v>88</v>
      </c>
      <c r="B31" t="s">
        <v>89</v>
      </c>
      <c r="C31" t="s">
        <v>201</v>
      </c>
      <c r="D31">
        <v>120</v>
      </c>
      <c r="E31">
        <v>98</v>
      </c>
      <c r="F31" t="s">
        <v>202</v>
      </c>
      <c r="G31">
        <v>41.58</v>
      </c>
    </row>
    <row r="32" spans="1:7" x14ac:dyDescent="0.25">
      <c r="A32" t="s">
        <v>92</v>
      </c>
      <c r="B32" t="s">
        <v>93</v>
      </c>
      <c r="C32" t="s">
        <v>203</v>
      </c>
      <c r="D32">
        <v>117</v>
      </c>
      <c r="E32">
        <v>96</v>
      </c>
      <c r="F32" t="s">
        <v>204</v>
      </c>
      <c r="G32">
        <v>39.46</v>
      </c>
    </row>
    <row r="33" spans="1:7" x14ac:dyDescent="0.25">
      <c r="A33" t="s">
        <v>96</v>
      </c>
      <c r="B33" t="s">
        <v>97</v>
      </c>
      <c r="C33">
        <v>230</v>
      </c>
      <c r="D33">
        <v>40</v>
      </c>
      <c r="E33">
        <v>49</v>
      </c>
      <c r="F33">
        <v>188</v>
      </c>
      <c r="G33">
        <v>15.17</v>
      </c>
    </row>
    <row r="34" spans="1:7" x14ac:dyDescent="0.25">
      <c r="A34" t="s">
        <v>82</v>
      </c>
      <c r="B34" t="s">
        <v>98</v>
      </c>
      <c r="C34">
        <v>267</v>
      </c>
      <c r="D34">
        <v>50</v>
      </c>
      <c r="E34">
        <v>53</v>
      </c>
      <c r="F34">
        <v>220</v>
      </c>
      <c r="G34">
        <v>16.34</v>
      </c>
    </row>
    <row r="35" spans="1:7" x14ac:dyDescent="0.25">
      <c r="A35" t="s">
        <v>82</v>
      </c>
      <c r="B35" t="s">
        <v>99</v>
      </c>
      <c r="C35">
        <v>215</v>
      </c>
      <c r="D35">
        <v>29</v>
      </c>
      <c r="E35">
        <v>36</v>
      </c>
      <c r="F35">
        <v>184</v>
      </c>
      <c r="G35">
        <v>14.66</v>
      </c>
    </row>
    <row r="36" spans="1:7" x14ac:dyDescent="0.25">
      <c r="A36" t="s">
        <v>82</v>
      </c>
      <c r="B36" t="s">
        <v>100</v>
      </c>
      <c r="C36">
        <v>130</v>
      </c>
      <c r="D36">
        <v>34</v>
      </c>
      <c r="E36">
        <v>34</v>
      </c>
      <c r="F36">
        <v>97</v>
      </c>
      <c r="G36">
        <v>11.4</v>
      </c>
    </row>
    <row r="37" spans="1:7" x14ac:dyDescent="0.25">
      <c r="A37" t="s">
        <v>101</v>
      </c>
      <c r="B37" t="s">
        <v>102</v>
      </c>
      <c r="C37">
        <v>438</v>
      </c>
      <c r="D37">
        <v>115</v>
      </c>
      <c r="E37">
        <v>122</v>
      </c>
      <c r="F37">
        <v>299</v>
      </c>
      <c r="G37">
        <v>20.93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80594/60</f>
        <v>1343.2333333333333</v>
      </c>
      <c r="H2" s="20">
        <f>2.97-1.77</f>
        <v>1.2000000000000002</v>
      </c>
      <c r="I2" s="20">
        <v>0</v>
      </c>
      <c r="J2" s="20">
        <v>2.1399999999999999E-2</v>
      </c>
      <c r="K2" s="20">
        <v>1649</v>
      </c>
      <c r="L2" s="20">
        <v>242</v>
      </c>
      <c r="M2" s="20">
        <v>220</v>
      </c>
      <c r="N2" s="20">
        <f t="shared" ref="N2:N13" si="0">K2-(L2+M2)/2</f>
        <v>1418</v>
      </c>
      <c r="O2" s="20" t="s">
        <v>1</v>
      </c>
      <c r="P2" s="20">
        <f t="shared" ref="P2:P16" si="1">SQRT((K2+(L2+M2)/2))</f>
        <v>43.358966777357601</v>
      </c>
      <c r="Q2" s="20">
        <f t="shared" ref="Q2:Q16" si="2">N2/G2</f>
        <v>1.0556617117899596</v>
      </c>
      <c r="R2" s="20">
        <f>(Q2/H2/J2)</f>
        <v>41.108322110200916</v>
      </c>
      <c r="S2" s="20" t="s">
        <v>1</v>
      </c>
      <c r="T2" s="20">
        <f>P2/N2*R2</f>
        <v>1.2569918001756815</v>
      </c>
      <c r="U2" s="20">
        <f>R2/60*1000</f>
        <v>685.13870183668189</v>
      </c>
      <c r="V2" s="20" t="s">
        <v>1</v>
      </c>
      <c r="W2" s="20">
        <f>T2/R2*U2</f>
        <v>20.949863336261355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1343.2333333333333</v>
      </c>
      <c r="H3" s="21">
        <f>H2</f>
        <v>1.2000000000000002</v>
      </c>
      <c r="I3" s="21">
        <v>0</v>
      </c>
      <c r="J3" s="21">
        <v>0.26</v>
      </c>
      <c r="K3" s="21">
        <v>229</v>
      </c>
      <c r="L3" s="21">
        <v>203</v>
      </c>
      <c r="M3" s="21">
        <v>210</v>
      </c>
      <c r="N3" s="21">
        <f t="shared" si="0"/>
        <v>22.5</v>
      </c>
      <c r="O3" s="21" t="s">
        <v>1</v>
      </c>
      <c r="P3" s="21">
        <f t="shared" si="1"/>
        <v>20.868636754709208</v>
      </c>
      <c r="Q3" s="21">
        <f t="shared" si="2"/>
        <v>1.6750626597513463E-2</v>
      </c>
      <c r="R3" s="21">
        <f>Q3/H3/J3</f>
        <v>5.368790576126109E-2</v>
      </c>
      <c r="S3" s="21" t="s">
        <v>1</v>
      </c>
      <c r="T3" s="21">
        <f>P3/N3*R3</f>
        <v>4.9795262375680771E-2</v>
      </c>
      <c r="U3" s="21">
        <f>R3/60*1000</f>
        <v>0.8947984293543515</v>
      </c>
      <c r="V3" s="21" t="s">
        <v>1</v>
      </c>
      <c r="W3" s="21">
        <f>T3/R3*U3</f>
        <v>0.82992103959467955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1343.2333333333333</v>
      </c>
      <c r="H4" s="19">
        <f>H2</f>
        <v>1.2000000000000002</v>
      </c>
      <c r="I4" s="19"/>
      <c r="J4" s="19">
        <v>8.1000000000000003E-2</v>
      </c>
      <c r="K4" s="19">
        <v>1561</v>
      </c>
      <c r="L4" s="19">
        <v>73</v>
      </c>
      <c r="M4" s="19">
        <v>62</v>
      </c>
      <c r="N4" s="19">
        <f t="shared" si="0"/>
        <v>1493.5</v>
      </c>
      <c r="O4" s="19" t="s">
        <v>1</v>
      </c>
      <c r="P4" s="19">
        <f t="shared" si="1"/>
        <v>40.354677547962147</v>
      </c>
      <c r="Q4" s="19">
        <f t="shared" si="2"/>
        <v>1.1118693699282824</v>
      </c>
      <c r="R4" s="19">
        <f>(Q4/H4/J4)</f>
        <v>11.438985287328007</v>
      </c>
      <c r="S4" s="19" t="s">
        <v>1</v>
      </c>
      <c r="T4" s="19">
        <f t="shared" ref="T4:T6" si="3">P4/N4*R4</f>
        <v>0.30908373802879469</v>
      </c>
      <c r="U4" s="19">
        <f t="shared" ref="U4:U6" si="4">R4/60*1000</f>
        <v>190.64975478880012</v>
      </c>
      <c r="V4" s="19" t="s">
        <v>1</v>
      </c>
      <c r="W4" s="19">
        <f t="shared" ref="W4:W6" si="5">T4/R4*U4</f>
        <v>5.1513956338132454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1343.2333333333333</v>
      </c>
      <c r="H5" s="19">
        <f>H2</f>
        <v>1.2000000000000002</v>
      </c>
      <c r="I5" s="19">
        <v>2E-3</v>
      </c>
      <c r="J5" s="19">
        <v>0.13700000000000001</v>
      </c>
      <c r="K5" s="19">
        <v>2566</v>
      </c>
      <c r="L5" s="19">
        <v>85</v>
      </c>
      <c r="M5" s="19">
        <v>55</v>
      </c>
      <c r="N5" s="19">
        <f t="shared" si="0"/>
        <v>2496</v>
      </c>
      <c r="O5" s="19" t="s">
        <v>1</v>
      </c>
      <c r="P5" s="19">
        <f t="shared" si="1"/>
        <v>51.341990611973742</v>
      </c>
      <c r="Q5" s="19">
        <f t="shared" si="2"/>
        <v>1.85820284388416</v>
      </c>
      <c r="R5" s="19">
        <f>(Q5/H5/J5)</f>
        <v>11.302937006594645</v>
      </c>
      <c r="S5" s="19" t="s">
        <v>1</v>
      </c>
      <c r="T5" s="19">
        <f t="shared" si="3"/>
        <v>0.23249811125012534</v>
      </c>
      <c r="U5" s="19">
        <f t="shared" si="4"/>
        <v>188.38228344324409</v>
      </c>
      <c r="V5" s="19" t="s">
        <v>1</v>
      </c>
      <c r="W5" s="19">
        <f t="shared" si="5"/>
        <v>3.8749685208354223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1343.2333333333333</v>
      </c>
      <c r="H6" s="19">
        <f>H2</f>
        <v>1.2000000000000002</v>
      </c>
      <c r="I6" s="19">
        <v>2E-3</v>
      </c>
      <c r="J6" s="19">
        <v>4.5999999999999999E-2</v>
      </c>
      <c r="K6" s="19">
        <v>896</v>
      </c>
      <c r="L6" s="19">
        <v>59</v>
      </c>
      <c r="M6" s="19">
        <v>48</v>
      </c>
      <c r="N6" s="19">
        <f t="shared" si="0"/>
        <v>842.5</v>
      </c>
      <c r="O6" s="19" t="s">
        <v>1</v>
      </c>
      <c r="P6" s="19">
        <f t="shared" si="1"/>
        <v>30.813957876261206</v>
      </c>
      <c r="Q6" s="19">
        <f t="shared" si="2"/>
        <v>0.62721790704022629</v>
      </c>
      <c r="R6" s="19">
        <f>(Q6/H6/J6)</f>
        <v>11.362643243482358</v>
      </c>
      <c r="S6" s="19" t="s">
        <v>1</v>
      </c>
      <c r="T6" s="19">
        <f t="shared" si="3"/>
        <v>0.41558220803281826</v>
      </c>
      <c r="U6" s="19">
        <f t="shared" si="4"/>
        <v>189.37738739137265</v>
      </c>
      <c r="V6" s="19" t="s">
        <v>1</v>
      </c>
      <c r="W6" s="19">
        <f t="shared" si="5"/>
        <v>6.9263701338803054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1343.2333333333333</v>
      </c>
      <c r="H7" s="23">
        <f>H2</f>
        <v>1.2000000000000002</v>
      </c>
      <c r="I7" s="23">
        <v>1E-3</v>
      </c>
      <c r="J7" s="23">
        <v>0.247</v>
      </c>
      <c r="K7" s="23">
        <v>1975</v>
      </c>
      <c r="L7" s="23">
        <v>54</v>
      </c>
      <c r="M7" s="23">
        <v>48</v>
      </c>
      <c r="N7" s="23">
        <f t="shared" si="0"/>
        <v>1924</v>
      </c>
      <c r="O7" s="23" t="s">
        <v>1</v>
      </c>
      <c r="P7" s="23">
        <f t="shared" si="1"/>
        <v>45.011109739707599</v>
      </c>
      <c r="Q7" s="23">
        <f t="shared" si="2"/>
        <v>1.4323646921607067</v>
      </c>
      <c r="R7" s="23">
        <f>Q7/H7/J7</f>
        <v>4.8325394472358525</v>
      </c>
      <c r="S7" s="23" t="s">
        <v>1</v>
      </c>
      <c r="T7" s="23">
        <f>P7/N7*R7</f>
        <v>0.11305507452234867</v>
      </c>
      <c r="U7" s="23">
        <f>R7/60*1000</f>
        <v>80.542324120597542</v>
      </c>
      <c r="V7" s="23" t="s">
        <v>1</v>
      </c>
      <c r="W7" s="23">
        <f>T7/R7*U7</f>
        <v>1.8842512420391446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1343.2333333333333</v>
      </c>
      <c r="H8" s="25">
        <f>H2</f>
        <v>1.2000000000000002</v>
      </c>
      <c r="I8" s="25">
        <v>4.0000000000000001E-3</v>
      </c>
      <c r="J8" s="25">
        <v>1.55E-2</v>
      </c>
      <c r="K8" s="25">
        <v>1175</v>
      </c>
      <c r="L8" s="25">
        <v>25</v>
      </c>
      <c r="M8" s="25">
        <v>28</v>
      </c>
      <c r="N8" s="25">
        <f t="shared" si="0"/>
        <v>1148.5</v>
      </c>
      <c r="O8" s="25" t="s">
        <v>1</v>
      </c>
      <c r="P8" s="25">
        <f t="shared" si="1"/>
        <v>34.662660024874029</v>
      </c>
      <c r="Q8" s="25">
        <f t="shared" si="2"/>
        <v>0.85502642876640944</v>
      </c>
      <c r="R8" s="25">
        <f>Q8/H8/J8</f>
        <v>45.969162836903728</v>
      </c>
      <c r="S8" s="25" t="s">
        <v>1</v>
      </c>
      <c r="T8" s="25">
        <f>P8/N8*R8</f>
        <v>1.3873865590280083</v>
      </c>
      <c r="U8" s="25">
        <f>R8/60*1000</f>
        <v>766.15271394839544</v>
      </c>
      <c r="V8" s="25" t="s">
        <v>1</v>
      </c>
      <c r="W8" s="25">
        <f>T8/R8*U8</f>
        <v>23.123109317133469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1343.2333333333333</v>
      </c>
      <c r="H9" s="30">
        <f>H2</f>
        <v>1.2000000000000002</v>
      </c>
      <c r="J9" s="30">
        <v>0.19</v>
      </c>
      <c r="K9" s="30">
        <v>1598</v>
      </c>
      <c r="L9" s="30">
        <v>102</v>
      </c>
      <c r="M9" s="30">
        <v>108</v>
      </c>
      <c r="N9" s="30">
        <f t="shared" si="0"/>
        <v>1493</v>
      </c>
      <c r="P9" s="30">
        <f t="shared" si="1"/>
        <v>41.267420563926699</v>
      </c>
      <c r="Q9" s="30">
        <f t="shared" si="2"/>
        <v>1.111497133781671</v>
      </c>
      <c r="R9" s="30">
        <f t="shared" ref="R9:R13" si="6">Q9/H9/J9</f>
        <v>4.8749874288669774</v>
      </c>
      <c r="S9" s="30" t="s">
        <v>1</v>
      </c>
      <c r="T9" s="30">
        <f t="shared" ref="T9:T16" si="7">P9/N9*R9</f>
        <v>0.13474759308165388</v>
      </c>
      <c r="U9" s="30">
        <f t="shared" ref="U9:U16" si="8">R9/60*1000</f>
        <v>81.249790481116293</v>
      </c>
      <c r="V9" s="30" t="s">
        <v>1</v>
      </c>
      <c r="W9" s="30">
        <f t="shared" ref="W9:W16" si="9">T9/R9*U9</f>
        <v>2.2457932180275644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1343.2333333333333</v>
      </c>
      <c r="H10" s="30">
        <f>H2</f>
        <v>1.2000000000000002</v>
      </c>
      <c r="J10" s="30">
        <v>2.5000000000000001E-2</v>
      </c>
      <c r="K10" s="30">
        <v>219</v>
      </c>
      <c r="L10" s="30">
        <v>41</v>
      </c>
      <c r="M10" s="30">
        <v>49</v>
      </c>
      <c r="N10" s="30">
        <f t="shared" si="0"/>
        <v>174</v>
      </c>
      <c r="P10" s="30">
        <f t="shared" si="1"/>
        <v>16.248076809271922</v>
      </c>
      <c r="Q10" s="30">
        <f t="shared" si="2"/>
        <v>0.12953817902077078</v>
      </c>
      <c r="R10" s="30">
        <f t="shared" si="6"/>
        <v>4.317939300692359</v>
      </c>
      <c r="S10" s="30" t="s">
        <v>1</v>
      </c>
      <c r="T10" s="30">
        <f t="shared" si="7"/>
        <v>0.40320810008863989</v>
      </c>
      <c r="U10" s="30">
        <f t="shared" si="8"/>
        <v>71.965655011539312</v>
      </c>
      <c r="V10" s="30" t="s">
        <v>1</v>
      </c>
      <c r="W10" s="30">
        <f t="shared" si="9"/>
        <v>6.7201350014773311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1343.2333333333333</v>
      </c>
      <c r="H11" s="32">
        <f>H2</f>
        <v>1.2000000000000002</v>
      </c>
      <c r="J11" s="32">
        <v>3.1E-2</v>
      </c>
      <c r="K11" s="32">
        <v>303</v>
      </c>
      <c r="L11" s="32">
        <v>55</v>
      </c>
      <c r="M11" s="32">
        <v>58</v>
      </c>
      <c r="N11" s="32">
        <f t="shared" si="0"/>
        <v>246.5</v>
      </c>
      <c r="P11" s="32">
        <f t="shared" si="1"/>
        <v>18.960485225858541</v>
      </c>
      <c r="Q11" s="32">
        <f t="shared" si="2"/>
        <v>0.18351242027942527</v>
      </c>
      <c r="R11" s="32">
        <f t="shared" si="6"/>
        <v>4.9331295774039043</v>
      </c>
      <c r="S11" s="32" t="s">
        <v>1</v>
      </c>
      <c r="T11" s="32">
        <f t="shared" si="7"/>
        <v>0.37945042786861066</v>
      </c>
      <c r="U11" s="32">
        <f t="shared" si="8"/>
        <v>82.218826290065081</v>
      </c>
      <c r="V11" s="32" t="s">
        <v>1</v>
      </c>
      <c r="W11" s="32">
        <f t="shared" si="9"/>
        <v>6.324173797810178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1343.2333333333333</v>
      </c>
      <c r="H12" s="32">
        <f>H2</f>
        <v>1.2000000000000002</v>
      </c>
      <c r="J12" s="32">
        <v>0.03</v>
      </c>
      <c r="K12" s="32">
        <v>276</v>
      </c>
      <c r="L12" s="32">
        <v>42</v>
      </c>
      <c r="M12" s="32">
        <v>47</v>
      </c>
      <c r="N12" s="32">
        <f t="shared" si="0"/>
        <v>231.5</v>
      </c>
      <c r="P12" s="32">
        <f t="shared" si="1"/>
        <v>17.902513789968157</v>
      </c>
      <c r="Q12" s="32">
        <f t="shared" si="2"/>
        <v>0.17234533588108294</v>
      </c>
      <c r="R12" s="32">
        <f t="shared" si="6"/>
        <v>4.7873704411411921</v>
      </c>
      <c r="S12" s="32" t="s">
        <v>1</v>
      </c>
      <c r="T12" s="32">
        <f t="shared" si="7"/>
        <v>0.37022015265752106</v>
      </c>
      <c r="U12" s="32">
        <f t="shared" si="8"/>
        <v>79.789507352353198</v>
      </c>
      <c r="V12" s="32" t="s">
        <v>1</v>
      </c>
      <c r="W12" s="32">
        <f t="shared" si="9"/>
        <v>6.1703358776253507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1343.2333333333333</v>
      </c>
      <c r="H13" s="32">
        <f>H2</f>
        <v>1.2000000000000002</v>
      </c>
      <c r="J13" s="32">
        <v>1.7999999999999999E-2</v>
      </c>
      <c r="K13" s="32">
        <v>155</v>
      </c>
      <c r="L13" s="32">
        <v>31</v>
      </c>
      <c r="M13" s="32">
        <v>30</v>
      </c>
      <c r="N13" s="32">
        <f t="shared" si="0"/>
        <v>124.5</v>
      </c>
      <c r="P13" s="32">
        <f t="shared" si="1"/>
        <v>13.619838471876236</v>
      </c>
      <c r="Q13" s="32">
        <f t="shared" si="2"/>
        <v>9.268680050624116E-2</v>
      </c>
      <c r="R13" s="32">
        <f t="shared" si="6"/>
        <v>4.2910555789926459</v>
      </c>
      <c r="S13" s="32" t="s">
        <v>1</v>
      </c>
      <c r="T13" s="32">
        <f t="shared" si="7"/>
        <v>0.46942557317046746</v>
      </c>
      <c r="U13" s="32">
        <f t="shared" si="8"/>
        <v>71.517592983210761</v>
      </c>
      <c r="V13" s="32" t="s">
        <v>1</v>
      </c>
      <c r="W13" s="32">
        <f t="shared" si="9"/>
        <v>7.8237595528411239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1343.2333333333333</v>
      </c>
      <c r="H14" s="22">
        <f>H2</f>
        <v>1.2000000000000002</v>
      </c>
      <c r="I14" s="22">
        <v>5.0000000000000001E-3</v>
      </c>
      <c r="J14" s="22">
        <f>J4+J5+J6</f>
        <v>0.26400000000000001</v>
      </c>
      <c r="K14" s="22">
        <f>K4+K5+K6</f>
        <v>5023</v>
      </c>
      <c r="L14" s="22">
        <f>L4+L5+L6</f>
        <v>217</v>
      </c>
      <c r="M14" s="22">
        <f>M4+M5+M6</f>
        <v>165</v>
      </c>
      <c r="N14" s="22">
        <f>N4+N5+N6</f>
        <v>4832</v>
      </c>
      <c r="O14" s="22" t="s">
        <v>1</v>
      </c>
      <c r="P14" s="22">
        <f>SQRT((K14+(L14+M14)/2))</f>
        <v>72.208032794142781</v>
      </c>
      <c r="Q14" s="22">
        <f>N14/G14</f>
        <v>3.5972901208526689</v>
      </c>
      <c r="R14" s="22">
        <f>(Q14/H14/J14)</f>
        <v>11.355082452186453</v>
      </c>
      <c r="S14" s="22" t="s">
        <v>1</v>
      </c>
      <c r="T14" s="22">
        <f>P14/N14*R14</f>
        <v>0.16968712046516446</v>
      </c>
      <c r="U14" s="22">
        <f>R14/60*1000</f>
        <v>189.25137420310756</v>
      </c>
      <c r="V14" s="22" t="s">
        <v>1</v>
      </c>
      <c r="W14" s="22">
        <f>T14/R14*U14</f>
        <v>2.8281186744194078</v>
      </c>
      <c r="X14" s="22"/>
    </row>
    <row r="15" spans="1:25" s="31" customFormat="1" x14ac:dyDescent="0.25">
      <c r="B15" s="31" t="s">
        <v>44</v>
      </c>
      <c r="G15" s="31">
        <f>G14</f>
        <v>1343.2333333333333</v>
      </c>
      <c r="H15" s="31">
        <f>H14</f>
        <v>1.2000000000000002</v>
      </c>
      <c r="I15" s="31">
        <v>5.0000000000000001E-3</v>
      </c>
      <c r="J15" s="31">
        <f>J9+J10</f>
        <v>0.215</v>
      </c>
      <c r="K15" s="31">
        <f>K9+K10</f>
        <v>1817</v>
      </c>
      <c r="L15" s="31">
        <f>L9+L10</f>
        <v>143</v>
      </c>
      <c r="M15" s="31">
        <f>M9+M10</f>
        <v>157</v>
      </c>
      <c r="N15" s="31">
        <f>N9+N10</f>
        <v>1667</v>
      </c>
      <c r="O15" s="31" t="s">
        <v>1</v>
      </c>
      <c r="P15" s="31">
        <f>SQRT((K15+(L15+M15)/2))</f>
        <v>44.35087372307337</v>
      </c>
      <c r="Q15" s="31">
        <f>N15/G15</f>
        <v>1.2410353128024418</v>
      </c>
      <c r="R15" s="31">
        <f>(Q15/H15/J15)</f>
        <v>4.810214390707138</v>
      </c>
      <c r="S15" s="31" t="s">
        <v>1</v>
      </c>
      <c r="T15" s="31">
        <f>P15/N15*R15</f>
        <v>0.12797673126764403</v>
      </c>
      <c r="U15" s="31">
        <f>R15/60*1000</f>
        <v>80.170239845118971</v>
      </c>
      <c r="V15" s="31" t="s">
        <v>1</v>
      </c>
      <c r="W15" s="31">
        <f>T15/R15*U15</f>
        <v>2.1329455211274007</v>
      </c>
      <c r="X15" s="31">
        <v>3225</v>
      </c>
    </row>
    <row r="16" spans="1:25" s="33" customFormat="1" x14ac:dyDescent="0.25">
      <c r="B16" s="33" t="s">
        <v>46</v>
      </c>
      <c r="G16" s="33">
        <f>G10</f>
        <v>1343.2333333333333</v>
      </c>
      <c r="H16" s="33">
        <f>H10</f>
        <v>1.2000000000000002</v>
      </c>
      <c r="I16" s="33">
        <v>5.0000000000000001E-3</v>
      </c>
      <c r="J16" s="33">
        <f>J11+J12+J13</f>
        <v>7.9000000000000001E-2</v>
      </c>
      <c r="K16" s="33">
        <f>K11+K12+K13</f>
        <v>734</v>
      </c>
      <c r="L16" s="33">
        <f>L11+L12+L13</f>
        <v>128</v>
      </c>
      <c r="M16" s="33">
        <f t="shared" ref="M16" si="10">M11+M12+M13</f>
        <v>135</v>
      </c>
      <c r="N16" s="33">
        <f>N11+N12+N13</f>
        <v>602.5</v>
      </c>
      <c r="O16" s="33" t="s">
        <v>1</v>
      </c>
      <c r="P16" s="33">
        <f t="shared" si="1"/>
        <v>29.419381366711299</v>
      </c>
      <c r="Q16" s="33">
        <f t="shared" si="2"/>
        <v>0.44854455666674936</v>
      </c>
      <c r="R16" s="33">
        <f>(Q16/H16/J16)</f>
        <v>4.7314826652610682</v>
      </c>
      <c r="S16" s="33" t="s">
        <v>1</v>
      </c>
      <c r="T16" s="33">
        <f t="shared" si="7"/>
        <v>0.23103285138472862</v>
      </c>
      <c r="U16" s="33">
        <f t="shared" si="8"/>
        <v>78.858044421017809</v>
      </c>
      <c r="V16" s="33" t="s">
        <v>1</v>
      </c>
      <c r="W16" s="33">
        <f t="shared" si="9"/>
        <v>3.8505475230788107</v>
      </c>
      <c r="X16" s="33">
        <v>3225</v>
      </c>
    </row>
    <row r="18" spans="1:7" x14ac:dyDescent="0.25">
      <c r="A18" t="s">
        <v>255</v>
      </c>
      <c r="B18" t="s">
        <v>256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257</v>
      </c>
      <c r="D21">
        <v>242</v>
      </c>
      <c r="E21">
        <v>220</v>
      </c>
      <c r="F21" t="s">
        <v>258</v>
      </c>
      <c r="G21">
        <v>40.61</v>
      </c>
    </row>
    <row r="22" spans="1:7" x14ac:dyDescent="0.25">
      <c r="A22" t="s">
        <v>62</v>
      </c>
      <c r="B22" t="s">
        <v>107</v>
      </c>
      <c r="C22">
        <v>229</v>
      </c>
      <c r="D22">
        <v>203</v>
      </c>
      <c r="E22">
        <v>210</v>
      </c>
      <c r="F22">
        <v>45</v>
      </c>
      <c r="G22">
        <v>15.13</v>
      </c>
    </row>
    <row r="23" spans="1:7" x14ac:dyDescent="0.25">
      <c r="A23" t="s">
        <v>64</v>
      </c>
      <c r="B23" t="s">
        <v>65</v>
      </c>
      <c r="C23" t="s">
        <v>259</v>
      </c>
      <c r="D23">
        <v>73</v>
      </c>
      <c r="E23">
        <v>62</v>
      </c>
      <c r="F23" t="s">
        <v>260</v>
      </c>
      <c r="G23">
        <v>39.51</v>
      </c>
    </row>
    <row r="24" spans="1:7" x14ac:dyDescent="0.25">
      <c r="A24" t="s">
        <v>64</v>
      </c>
      <c r="B24" t="s">
        <v>68</v>
      </c>
      <c r="C24" t="s">
        <v>261</v>
      </c>
      <c r="D24">
        <v>85</v>
      </c>
      <c r="E24">
        <v>55</v>
      </c>
      <c r="F24" t="s">
        <v>262</v>
      </c>
      <c r="G24">
        <v>50.66</v>
      </c>
    </row>
    <row r="25" spans="1:7" x14ac:dyDescent="0.25">
      <c r="A25" t="s">
        <v>71</v>
      </c>
      <c r="B25" t="s">
        <v>72</v>
      </c>
      <c r="C25">
        <v>896</v>
      </c>
      <c r="D25">
        <v>59</v>
      </c>
      <c r="E25">
        <v>48</v>
      </c>
      <c r="F25">
        <v>845</v>
      </c>
      <c r="G25">
        <v>29.93</v>
      </c>
    </row>
    <row r="26" spans="1:7" x14ac:dyDescent="0.25">
      <c r="A26" t="s">
        <v>73</v>
      </c>
      <c r="B26" t="s">
        <v>74</v>
      </c>
      <c r="C26" t="s">
        <v>263</v>
      </c>
      <c r="D26">
        <v>54</v>
      </c>
      <c r="E26">
        <v>48</v>
      </c>
      <c r="F26" t="s">
        <v>264</v>
      </c>
      <c r="G26">
        <v>44.44</v>
      </c>
    </row>
    <row r="27" spans="1:7" x14ac:dyDescent="0.25">
      <c r="A27" t="s">
        <v>77</v>
      </c>
      <c r="B27" t="s">
        <v>78</v>
      </c>
      <c r="C27" t="s">
        <v>265</v>
      </c>
      <c r="D27">
        <v>25</v>
      </c>
      <c r="E27">
        <v>28</v>
      </c>
      <c r="F27" t="s">
        <v>266</v>
      </c>
      <c r="G27">
        <v>34.28</v>
      </c>
    </row>
    <row r="28" spans="1:7" x14ac:dyDescent="0.25">
      <c r="A28" t="s">
        <v>71</v>
      </c>
      <c r="B28" t="s">
        <v>81</v>
      </c>
      <c r="C28">
        <v>179</v>
      </c>
      <c r="D28">
        <v>38</v>
      </c>
      <c r="E28">
        <v>36</v>
      </c>
      <c r="F28">
        <v>143</v>
      </c>
      <c r="G28">
        <v>13.38</v>
      </c>
    </row>
    <row r="29" spans="1:7" x14ac:dyDescent="0.25">
      <c r="A29" t="s">
        <v>82</v>
      </c>
      <c r="B29" t="s">
        <v>83</v>
      </c>
      <c r="C29">
        <v>12</v>
      </c>
      <c r="D29">
        <v>29</v>
      </c>
      <c r="E29">
        <v>9</v>
      </c>
      <c r="F29">
        <v>-6</v>
      </c>
      <c r="G29">
        <v>3.46</v>
      </c>
    </row>
    <row r="30" spans="1:7" x14ac:dyDescent="0.25">
      <c r="A30" t="s">
        <v>84</v>
      </c>
      <c r="B30" t="s">
        <v>85</v>
      </c>
      <c r="C30" t="s">
        <v>267</v>
      </c>
      <c r="D30">
        <v>226</v>
      </c>
      <c r="E30">
        <v>237</v>
      </c>
      <c r="F30" t="s">
        <v>268</v>
      </c>
      <c r="G30">
        <v>48.69</v>
      </c>
    </row>
    <row r="31" spans="1:7" x14ac:dyDescent="0.25">
      <c r="A31" t="s">
        <v>88</v>
      </c>
      <c r="B31" t="s">
        <v>89</v>
      </c>
      <c r="C31" t="s">
        <v>269</v>
      </c>
      <c r="D31">
        <v>129</v>
      </c>
      <c r="E31">
        <v>132</v>
      </c>
      <c r="F31" t="s">
        <v>270</v>
      </c>
      <c r="G31">
        <v>44.16</v>
      </c>
    </row>
    <row r="32" spans="1:7" x14ac:dyDescent="0.25">
      <c r="A32" t="s">
        <v>92</v>
      </c>
      <c r="B32" t="s">
        <v>93</v>
      </c>
      <c r="C32" t="s">
        <v>271</v>
      </c>
      <c r="D32">
        <v>102</v>
      </c>
      <c r="E32">
        <v>108</v>
      </c>
      <c r="F32" t="s">
        <v>272</v>
      </c>
      <c r="G32">
        <v>39.97</v>
      </c>
    </row>
    <row r="33" spans="1:7" x14ac:dyDescent="0.25">
      <c r="A33" t="s">
        <v>96</v>
      </c>
      <c r="B33" t="s">
        <v>97</v>
      </c>
      <c r="C33">
        <v>219</v>
      </c>
      <c r="D33">
        <v>41</v>
      </c>
      <c r="E33">
        <v>49</v>
      </c>
      <c r="F33">
        <v>176</v>
      </c>
      <c r="G33">
        <v>14.8</v>
      </c>
    </row>
    <row r="34" spans="1:7" x14ac:dyDescent="0.25">
      <c r="A34" t="s">
        <v>82</v>
      </c>
      <c r="B34" t="s">
        <v>98</v>
      </c>
      <c r="C34">
        <v>303</v>
      </c>
      <c r="D34">
        <v>55</v>
      </c>
      <c r="E34">
        <v>58</v>
      </c>
      <c r="F34">
        <v>251</v>
      </c>
      <c r="G34">
        <v>17.41</v>
      </c>
    </row>
    <row r="35" spans="1:7" x14ac:dyDescent="0.25">
      <c r="A35" t="s">
        <v>82</v>
      </c>
      <c r="B35" t="s">
        <v>99</v>
      </c>
      <c r="C35">
        <v>276</v>
      </c>
      <c r="D35">
        <v>42</v>
      </c>
      <c r="E35">
        <v>47</v>
      </c>
      <c r="F35">
        <v>233</v>
      </c>
      <c r="G35">
        <v>16.61</v>
      </c>
    </row>
    <row r="36" spans="1:7" x14ac:dyDescent="0.25">
      <c r="A36" t="s">
        <v>82</v>
      </c>
      <c r="B36" t="s">
        <v>100</v>
      </c>
      <c r="C36">
        <v>155</v>
      </c>
      <c r="D36">
        <v>31</v>
      </c>
      <c r="E36">
        <v>30</v>
      </c>
      <c r="F36">
        <v>126</v>
      </c>
      <c r="G36">
        <v>12.45</v>
      </c>
    </row>
    <row r="37" spans="1:7" x14ac:dyDescent="0.25">
      <c r="A37" t="s">
        <v>101</v>
      </c>
      <c r="B37" t="s">
        <v>102</v>
      </c>
      <c r="C37">
        <v>469</v>
      </c>
      <c r="D37">
        <v>129</v>
      </c>
      <c r="E37">
        <v>133</v>
      </c>
      <c r="F37">
        <v>316</v>
      </c>
      <c r="G37">
        <v>21.66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7"/>
  <sheetViews>
    <sheetView workbookViewId="0">
      <selection activeCell="H3" sqref="H3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84841/60</f>
        <v>1414.0166666666667</v>
      </c>
      <c r="H2" s="20">
        <f>3.07-1.82</f>
        <v>1.2499999999999998</v>
      </c>
      <c r="I2" s="20">
        <v>0</v>
      </c>
      <c r="J2" s="20">
        <v>2.1399999999999999E-2</v>
      </c>
      <c r="K2" s="20">
        <v>1156</v>
      </c>
      <c r="L2" s="20">
        <v>234</v>
      </c>
      <c r="M2" s="20">
        <v>234</v>
      </c>
      <c r="N2" s="20">
        <f t="shared" ref="N2:N13" si="0">K2-(L2+M2)/2</f>
        <v>922</v>
      </c>
      <c r="O2" s="20" t="s">
        <v>1</v>
      </c>
      <c r="P2" s="20">
        <f t="shared" ref="P2:P16" si="1">SQRT((K2+(L2+M2)/2))</f>
        <v>37.282703764614496</v>
      </c>
      <c r="Q2" s="20">
        <f t="shared" ref="Q2:Q16" si="2">N2/G2</f>
        <v>0.65204323381384</v>
      </c>
      <c r="R2" s="20">
        <f>(Q2/H2/J2)</f>
        <v>24.375447993040755</v>
      </c>
      <c r="S2" s="20" t="s">
        <v>1</v>
      </c>
      <c r="T2" s="20">
        <f>P2/N2*R2</f>
        <v>0.98566443237994084</v>
      </c>
      <c r="U2" s="20">
        <f>R2/60*1000</f>
        <v>406.25746655067923</v>
      </c>
      <c r="V2" s="20" t="s">
        <v>1</v>
      </c>
      <c r="W2" s="20">
        <f>T2/R2*U2</f>
        <v>16.427740539665681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1414.0166666666667</v>
      </c>
      <c r="H3" s="21">
        <f>H2</f>
        <v>1.2499999999999998</v>
      </c>
      <c r="I3" s="21">
        <v>0</v>
      </c>
      <c r="J3" s="21">
        <v>0.26</v>
      </c>
      <c r="K3" s="21">
        <v>241</v>
      </c>
      <c r="L3" s="21">
        <v>188</v>
      </c>
      <c r="M3" s="21">
        <v>198</v>
      </c>
      <c r="N3" s="21">
        <f t="shared" si="0"/>
        <v>48</v>
      </c>
      <c r="O3" s="21" t="s">
        <v>1</v>
      </c>
      <c r="P3" s="21">
        <f t="shared" si="1"/>
        <v>20.83266665599966</v>
      </c>
      <c r="Q3" s="21">
        <f t="shared" si="2"/>
        <v>3.3945851651913578E-2</v>
      </c>
      <c r="R3" s="21">
        <f>Q3/H3/J3</f>
        <v>0.10444877431358025</v>
      </c>
      <c r="S3" s="21" t="s">
        <v>1</v>
      </c>
      <c r="T3" s="21">
        <f>P3/N3*R3</f>
        <v>4.5332218706303273E-2</v>
      </c>
      <c r="U3" s="21">
        <f>R3/60*1000</f>
        <v>1.7408129052263375</v>
      </c>
      <c r="V3" s="21" t="s">
        <v>1</v>
      </c>
      <c r="W3" s="21">
        <f>T3/R3*U3</f>
        <v>0.75553697843838785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1414.0166666666667</v>
      </c>
      <c r="H4" s="19">
        <f>H2</f>
        <v>1.2499999999999998</v>
      </c>
      <c r="I4" s="19"/>
      <c r="J4" s="19">
        <v>8.1000000000000003E-2</v>
      </c>
      <c r="K4" s="19">
        <v>1733</v>
      </c>
      <c r="L4" s="19">
        <v>70</v>
      </c>
      <c r="M4" s="19">
        <v>64</v>
      </c>
      <c r="N4" s="19">
        <f t="shared" si="0"/>
        <v>1666</v>
      </c>
      <c r="O4" s="19" t="s">
        <v>1</v>
      </c>
      <c r="P4" s="19">
        <f t="shared" si="1"/>
        <v>42.426406871192853</v>
      </c>
      <c r="Q4" s="19">
        <f t="shared" si="2"/>
        <v>1.1782039344185005</v>
      </c>
      <c r="R4" s="19">
        <f>(Q4/H4/J4)</f>
        <v>11.63658206833087</v>
      </c>
      <c r="S4" s="19" t="s">
        <v>1</v>
      </c>
      <c r="T4" s="19">
        <f t="shared" ref="T4:T6" si="3">P4/N4*R4</f>
        <v>0.29633755427432917</v>
      </c>
      <c r="U4" s="19">
        <f t="shared" ref="U4:U6" si="4">R4/60*1000</f>
        <v>193.94303447218118</v>
      </c>
      <c r="V4" s="19" t="s">
        <v>1</v>
      </c>
      <c r="W4" s="19">
        <f t="shared" ref="W4:W6" si="5">T4/R4*U4</f>
        <v>4.9389592379054861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1414.0166666666667</v>
      </c>
      <c r="H5" s="19">
        <f>H2</f>
        <v>1.2499999999999998</v>
      </c>
      <c r="I5" s="19">
        <v>2E-3</v>
      </c>
      <c r="J5" s="19">
        <v>0.13700000000000001</v>
      </c>
      <c r="K5" s="19">
        <v>2822</v>
      </c>
      <c r="L5" s="19">
        <v>93</v>
      </c>
      <c r="M5" s="19">
        <v>62</v>
      </c>
      <c r="N5" s="19">
        <f t="shared" si="0"/>
        <v>2744.5</v>
      </c>
      <c r="O5" s="19" t="s">
        <v>1</v>
      </c>
      <c r="P5" s="19">
        <f t="shared" si="1"/>
        <v>53.84700548777063</v>
      </c>
      <c r="Q5" s="19">
        <f t="shared" si="2"/>
        <v>1.9409247887224337</v>
      </c>
      <c r="R5" s="19">
        <f>(Q5/H5/J5)</f>
        <v>11.333867379401074</v>
      </c>
      <c r="S5" s="19" t="s">
        <v>1</v>
      </c>
      <c r="T5" s="19">
        <f t="shared" si="3"/>
        <v>0.22237012897659836</v>
      </c>
      <c r="U5" s="19">
        <f t="shared" si="4"/>
        <v>188.89778965668455</v>
      </c>
      <c r="V5" s="19" t="s">
        <v>1</v>
      </c>
      <c r="W5" s="19">
        <f t="shared" si="5"/>
        <v>3.7061688162766391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1414.0166666666667</v>
      </c>
      <c r="H6" s="19">
        <f>H2</f>
        <v>1.2499999999999998</v>
      </c>
      <c r="I6" s="19">
        <v>2E-3</v>
      </c>
      <c r="J6" s="19">
        <v>4.5999999999999999E-2</v>
      </c>
      <c r="K6" s="19">
        <v>990</v>
      </c>
      <c r="L6" s="19">
        <v>54</v>
      </c>
      <c r="M6" s="19">
        <v>48</v>
      </c>
      <c r="N6" s="19">
        <f t="shared" si="0"/>
        <v>939</v>
      </c>
      <c r="O6" s="19" t="s">
        <v>1</v>
      </c>
      <c r="P6" s="19">
        <f t="shared" si="1"/>
        <v>32.264531609803356</v>
      </c>
      <c r="Q6" s="19">
        <f t="shared" si="2"/>
        <v>0.66406572294055943</v>
      </c>
      <c r="R6" s="19">
        <f>(Q6/H6/J6)</f>
        <v>11.548969094618428</v>
      </c>
      <c r="S6" s="19" t="s">
        <v>1</v>
      </c>
      <c r="T6" s="19">
        <f t="shared" si="3"/>
        <v>0.3968286245090078</v>
      </c>
      <c r="U6" s="19">
        <f t="shared" si="4"/>
        <v>192.48281824364048</v>
      </c>
      <c r="V6" s="19" t="s">
        <v>1</v>
      </c>
      <c r="W6" s="19">
        <f t="shared" si="5"/>
        <v>6.6138104084834639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1414.0166666666667</v>
      </c>
      <c r="H7" s="23">
        <f>H2</f>
        <v>1.2499999999999998</v>
      </c>
      <c r="I7" s="23">
        <v>1E-3</v>
      </c>
      <c r="J7" s="23">
        <v>0.247</v>
      </c>
      <c r="K7" s="23">
        <v>1092</v>
      </c>
      <c r="L7" s="23">
        <v>51</v>
      </c>
      <c r="M7" s="23">
        <v>42</v>
      </c>
      <c r="N7" s="23">
        <f t="shared" si="0"/>
        <v>1045.5</v>
      </c>
      <c r="O7" s="23" t="s">
        <v>1</v>
      </c>
      <c r="P7" s="23">
        <f t="shared" si="1"/>
        <v>33.741665637605976</v>
      </c>
      <c r="Q7" s="23">
        <f t="shared" si="2"/>
        <v>0.73938308129324271</v>
      </c>
      <c r="R7" s="23">
        <f>Q7/H7/J7</f>
        <v>2.3947630163343896</v>
      </c>
      <c r="S7" s="23" t="s">
        <v>1</v>
      </c>
      <c r="T7" s="23">
        <f>P7/N7*R7</f>
        <v>7.7286746033916512E-2</v>
      </c>
      <c r="U7" s="23">
        <f>R7/60*1000</f>
        <v>39.912716938906492</v>
      </c>
      <c r="V7" s="23" t="s">
        <v>1</v>
      </c>
      <c r="W7" s="23">
        <f>T7/R7*U7</f>
        <v>1.2881124338986083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1414.0166666666667</v>
      </c>
      <c r="H8" s="25">
        <f>H2</f>
        <v>1.2499999999999998</v>
      </c>
      <c r="I8" s="25">
        <v>4.0000000000000001E-3</v>
      </c>
      <c r="J8" s="25">
        <v>1.55E-2</v>
      </c>
      <c r="K8" s="25">
        <v>1336</v>
      </c>
      <c r="L8" s="25">
        <v>27</v>
      </c>
      <c r="M8" s="25">
        <v>22</v>
      </c>
      <c r="N8" s="25">
        <f t="shared" si="0"/>
        <v>1311.5</v>
      </c>
      <c r="O8" s="25" t="s">
        <v>1</v>
      </c>
      <c r="P8" s="25">
        <f t="shared" si="1"/>
        <v>36.884956283015981</v>
      </c>
      <c r="Q8" s="25">
        <f t="shared" si="2"/>
        <v>0.92749967586426374</v>
      </c>
      <c r="R8" s="25">
        <f>Q8/H8/J8</f>
        <v>47.87095101234911</v>
      </c>
      <c r="S8" s="25" t="s">
        <v>1</v>
      </c>
      <c r="T8" s="25">
        <f>P8/N8*R8</f>
        <v>1.346334681903848</v>
      </c>
      <c r="U8" s="25">
        <f>R8/60*1000</f>
        <v>797.8491835391518</v>
      </c>
      <c r="V8" s="25" t="s">
        <v>1</v>
      </c>
      <c r="W8" s="25">
        <f>T8/R8*U8</f>
        <v>22.438911365064133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1414.0166666666667</v>
      </c>
      <c r="H9" s="30">
        <f>H2</f>
        <v>1.2499999999999998</v>
      </c>
      <c r="J9" s="30">
        <v>0.19</v>
      </c>
      <c r="K9" s="30">
        <v>1744</v>
      </c>
      <c r="L9" s="30">
        <v>122</v>
      </c>
      <c r="M9" s="30">
        <v>89</v>
      </c>
      <c r="N9" s="30">
        <f t="shared" si="0"/>
        <v>1638.5</v>
      </c>
      <c r="P9" s="30">
        <f t="shared" si="1"/>
        <v>43.005813560494353</v>
      </c>
      <c r="Q9" s="30">
        <f t="shared" si="2"/>
        <v>1.1587557902429251</v>
      </c>
      <c r="R9" s="30">
        <f t="shared" ref="R9:R13" si="6">Q9/H9/J9</f>
        <v>4.8789717483912645</v>
      </c>
      <c r="S9" s="30" t="s">
        <v>1</v>
      </c>
      <c r="T9" s="30">
        <f t="shared" ref="T9:T16" si="7">P9/N9*R9</f>
        <v>0.12805868134161361</v>
      </c>
      <c r="U9" s="30">
        <f t="shared" ref="U9:U16" si="8">R9/60*1000</f>
        <v>81.31619580652108</v>
      </c>
      <c r="V9" s="30" t="s">
        <v>1</v>
      </c>
      <c r="W9" s="30">
        <f t="shared" ref="W9:W16" si="9">T9/R9*U9</f>
        <v>2.1343113556935602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1414.0166666666667</v>
      </c>
      <c r="H10" s="30">
        <f>H2</f>
        <v>1.2499999999999998</v>
      </c>
      <c r="J10" s="30">
        <v>2.5000000000000001E-2</v>
      </c>
      <c r="K10" s="30">
        <v>256</v>
      </c>
      <c r="L10" s="30">
        <v>50</v>
      </c>
      <c r="M10" s="30">
        <v>49</v>
      </c>
      <c r="N10" s="30">
        <f t="shared" si="0"/>
        <v>206.5</v>
      </c>
      <c r="P10" s="30">
        <f t="shared" si="1"/>
        <v>17.478558292948534</v>
      </c>
      <c r="Q10" s="30">
        <f t="shared" si="2"/>
        <v>0.14603788262750322</v>
      </c>
      <c r="R10" s="30">
        <f t="shared" si="6"/>
        <v>4.6732122440801032</v>
      </c>
      <c r="S10" s="30" t="s">
        <v>1</v>
      </c>
      <c r="T10" s="30">
        <f t="shared" si="7"/>
        <v>0.39554969793450323</v>
      </c>
      <c r="U10" s="30">
        <f t="shared" si="8"/>
        <v>77.886870734668392</v>
      </c>
      <c r="V10" s="30" t="s">
        <v>1</v>
      </c>
      <c r="W10" s="30">
        <f t="shared" si="9"/>
        <v>6.5924949655750549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1414.0166666666667</v>
      </c>
      <c r="H11" s="32">
        <f>H2</f>
        <v>1.2499999999999998</v>
      </c>
      <c r="J11" s="32">
        <v>3.1E-2</v>
      </c>
      <c r="K11" s="32">
        <v>310</v>
      </c>
      <c r="L11" s="32">
        <v>78</v>
      </c>
      <c r="M11" s="32">
        <v>61</v>
      </c>
      <c r="N11" s="32">
        <f t="shared" si="0"/>
        <v>240.5</v>
      </c>
      <c r="P11" s="32">
        <f t="shared" si="1"/>
        <v>19.480759738778158</v>
      </c>
      <c r="Q11" s="32">
        <f t="shared" si="2"/>
        <v>0.17008286088094199</v>
      </c>
      <c r="R11" s="32">
        <f t="shared" si="6"/>
        <v>4.3892351195081813</v>
      </c>
      <c r="S11" s="32" t="s">
        <v>1</v>
      </c>
      <c r="T11" s="32">
        <f t="shared" si="7"/>
        <v>0.35553278503179259</v>
      </c>
      <c r="U11" s="32">
        <f t="shared" si="8"/>
        <v>73.153918658469692</v>
      </c>
      <c r="V11" s="32" t="s">
        <v>1</v>
      </c>
      <c r="W11" s="32">
        <f t="shared" si="9"/>
        <v>5.9255464171965437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1414.0166666666667</v>
      </c>
      <c r="H12" s="32">
        <f>H2</f>
        <v>1.2499999999999998</v>
      </c>
      <c r="J12" s="32">
        <v>0.03</v>
      </c>
      <c r="K12" s="32">
        <v>317</v>
      </c>
      <c r="L12" s="32">
        <v>54</v>
      </c>
      <c r="M12" s="32">
        <v>52</v>
      </c>
      <c r="N12" s="32">
        <f t="shared" si="0"/>
        <v>264</v>
      </c>
      <c r="P12" s="32">
        <f t="shared" si="1"/>
        <v>19.235384061671343</v>
      </c>
      <c r="Q12" s="32">
        <f t="shared" si="2"/>
        <v>0.18670218408552469</v>
      </c>
      <c r="R12" s="32">
        <f t="shared" si="6"/>
        <v>4.978724908947326</v>
      </c>
      <c r="S12" s="32" t="s">
        <v>1</v>
      </c>
      <c r="T12" s="32">
        <f t="shared" si="7"/>
        <v>0.36275638545837691</v>
      </c>
      <c r="U12" s="32">
        <f t="shared" si="8"/>
        <v>82.97874848245543</v>
      </c>
      <c r="V12" s="32" t="s">
        <v>1</v>
      </c>
      <c r="W12" s="32">
        <f t="shared" si="9"/>
        <v>6.0459397576396157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1414.0166666666667</v>
      </c>
      <c r="H13" s="32">
        <f>H2</f>
        <v>1.2499999999999998</v>
      </c>
      <c r="J13" s="32">
        <v>1.7999999999999999E-2</v>
      </c>
      <c r="K13" s="32">
        <v>200</v>
      </c>
      <c r="L13" s="32">
        <v>42</v>
      </c>
      <c r="M13" s="32">
        <v>41</v>
      </c>
      <c r="N13" s="32">
        <f t="shared" si="0"/>
        <v>158.5</v>
      </c>
      <c r="P13" s="32">
        <f t="shared" si="1"/>
        <v>15.540270267920054</v>
      </c>
      <c r="Q13" s="32">
        <f t="shared" si="2"/>
        <v>0.11209203097558963</v>
      </c>
      <c r="R13" s="32">
        <f t="shared" si="6"/>
        <v>4.9818680433595404</v>
      </c>
      <c r="S13" s="32" t="s">
        <v>1</v>
      </c>
      <c r="T13" s="32">
        <f t="shared" si="7"/>
        <v>0.48845158254209037</v>
      </c>
      <c r="U13" s="32">
        <f t="shared" si="8"/>
        <v>83.031134055992339</v>
      </c>
      <c r="V13" s="32" t="s">
        <v>1</v>
      </c>
      <c r="W13" s="32">
        <f t="shared" si="9"/>
        <v>8.1408597090348387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1414.0166666666667</v>
      </c>
      <c r="H14" s="22">
        <f>H2</f>
        <v>1.2499999999999998</v>
      </c>
      <c r="I14" s="22">
        <v>5.0000000000000001E-3</v>
      </c>
      <c r="J14" s="22">
        <f>J4+J5+J6</f>
        <v>0.26400000000000001</v>
      </c>
      <c r="K14" s="22">
        <f>K4+K5+K6</f>
        <v>5545</v>
      </c>
      <c r="L14" s="22">
        <f>L4+L5+L6</f>
        <v>217</v>
      </c>
      <c r="M14" s="22">
        <f>M4+M5+M6</f>
        <v>174</v>
      </c>
      <c r="N14" s="22">
        <f>N4+N5+N6</f>
        <v>5349.5</v>
      </c>
      <c r="O14" s="22" t="s">
        <v>1</v>
      </c>
      <c r="P14" s="22">
        <f>SQRT((K14+(L14+M14)/2))</f>
        <v>75.766087400630639</v>
      </c>
      <c r="Q14" s="22">
        <f>N14/G14</f>
        <v>3.7831944460814935</v>
      </c>
      <c r="R14" s="22">
        <f>(Q14/H14/J14)</f>
        <v>11.464225594186345</v>
      </c>
      <c r="S14" s="22" t="s">
        <v>1</v>
      </c>
      <c r="T14" s="22">
        <f>P14/N14*R14</f>
        <v>0.16237022494619485</v>
      </c>
      <c r="U14" s="22">
        <f>R14/60*1000</f>
        <v>191.07042656977242</v>
      </c>
      <c r="V14" s="22" t="s">
        <v>1</v>
      </c>
      <c r="W14" s="22">
        <f>T14/R14*U14</f>
        <v>2.7061704157699142</v>
      </c>
      <c r="X14" s="22"/>
    </row>
    <row r="15" spans="1:25" s="31" customFormat="1" x14ac:dyDescent="0.25">
      <c r="B15" s="31" t="s">
        <v>44</v>
      </c>
      <c r="G15" s="31">
        <f>G14</f>
        <v>1414.0166666666667</v>
      </c>
      <c r="H15" s="31">
        <f>H14</f>
        <v>1.2499999999999998</v>
      </c>
      <c r="I15" s="31">
        <v>5.0000000000000001E-3</v>
      </c>
      <c r="J15" s="31">
        <f>J9+J10</f>
        <v>0.215</v>
      </c>
      <c r="K15" s="31">
        <f>K9+K10</f>
        <v>2000</v>
      </c>
      <c r="L15" s="31">
        <f>L9+L10</f>
        <v>172</v>
      </c>
      <c r="M15" s="31">
        <f>M9+M10</f>
        <v>138</v>
      </c>
      <c r="N15" s="31">
        <f>N9+N10</f>
        <v>1845</v>
      </c>
      <c r="O15" s="31" t="s">
        <v>1</v>
      </c>
      <c r="P15" s="31">
        <f>SQRT((K15+(L15+M15)/2))</f>
        <v>46.421977553740639</v>
      </c>
      <c r="Q15" s="31">
        <f>N15/G15</f>
        <v>1.3047936728704281</v>
      </c>
      <c r="R15" s="31">
        <f>(Q15/H15/J15)</f>
        <v>4.8550462246341528</v>
      </c>
      <c r="S15" s="31" t="s">
        <v>1</v>
      </c>
      <c r="T15" s="31">
        <f>P15/N15*R15</f>
        <v>0.12215764057579398</v>
      </c>
      <c r="U15" s="31">
        <f>R15/60*1000</f>
        <v>80.917437077235874</v>
      </c>
      <c r="V15" s="31" t="s">
        <v>1</v>
      </c>
      <c r="W15" s="31">
        <f>T15/R15*U15</f>
        <v>2.0359606762632327</v>
      </c>
      <c r="X15" s="31">
        <v>3225</v>
      </c>
    </row>
    <row r="16" spans="1:25" s="33" customFormat="1" x14ac:dyDescent="0.25">
      <c r="B16" s="33" t="s">
        <v>46</v>
      </c>
      <c r="G16" s="33">
        <f>G10</f>
        <v>1414.0166666666667</v>
      </c>
      <c r="H16" s="33">
        <f>H10</f>
        <v>1.2499999999999998</v>
      </c>
      <c r="I16" s="33">
        <v>5.0000000000000001E-3</v>
      </c>
      <c r="J16" s="33">
        <f>J11+J12+J13</f>
        <v>7.9000000000000001E-2</v>
      </c>
      <c r="K16" s="33">
        <f>K11+K12+K13</f>
        <v>827</v>
      </c>
      <c r="L16" s="33">
        <f>L11+L12+L13</f>
        <v>174</v>
      </c>
      <c r="M16" s="33">
        <f t="shared" ref="M16" si="10">M11+M12+M13</f>
        <v>154</v>
      </c>
      <c r="N16" s="33">
        <f>N11+N12+N13</f>
        <v>663</v>
      </c>
      <c r="O16" s="33" t="s">
        <v>1</v>
      </c>
      <c r="P16" s="33">
        <f t="shared" si="1"/>
        <v>31.480152477394387</v>
      </c>
      <c r="Q16" s="33">
        <f t="shared" si="2"/>
        <v>0.4688770759420563</v>
      </c>
      <c r="R16" s="33">
        <f>(Q16/H16/J16)</f>
        <v>4.7481222880208236</v>
      </c>
      <c r="S16" s="33" t="s">
        <v>1</v>
      </c>
      <c r="T16" s="33">
        <f t="shared" si="7"/>
        <v>0.22544738100785858</v>
      </c>
      <c r="U16" s="33">
        <f t="shared" si="8"/>
        <v>79.135371467013726</v>
      </c>
      <c r="V16" s="33" t="s">
        <v>1</v>
      </c>
      <c r="W16" s="33">
        <f t="shared" si="9"/>
        <v>3.7574563501309766</v>
      </c>
      <c r="X16" s="33">
        <v>3225</v>
      </c>
    </row>
    <row r="18" spans="1:7" x14ac:dyDescent="0.25">
      <c r="A18" t="s">
        <v>122</v>
      </c>
      <c r="B18" t="s">
        <v>123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124</v>
      </c>
      <c r="D21">
        <v>234</v>
      </c>
      <c r="E21">
        <v>234</v>
      </c>
      <c r="F21">
        <v>945</v>
      </c>
      <c r="G21">
        <v>34</v>
      </c>
    </row>
    <row r="22" spans="1:7" x14ac:dyDescent="0.25">
      <c r="A22" t="s">
        <v>62</v>
      </c>
      <c r="B22" t="s">
        <v>125</v>
      </c>
      <c r="C22">
        <v>241</v>
      </c>
      <c r="D22">
        <v>188</v>
      </c>
      <c r="E22">
        <v>198</v>
      </c>
      <c r="F22">
        <v>69</v>
      </c>
      <c r="G22">
        <v>15.52</v>
      </c>
    </row>
    <row r="23" spans="1:7" x14ac:dyDescent="0.25">
      <c r="A23" t="s">
        <v>64</v>
      </c>
      <c r="B23" t="s">
        <v>65</v>
      </c>
      <c r="C23" t="s">
        <v>126</v>
      </c>
      <c r="D23">
        <v>70</v>
      </c>
      <c r="E23">
        <v>64</v>
      </c>
      <c r="F23" t="s">
        <v>127</v>
      </c>
      <c r="G23">
        <v>41.63</v>
      </c>
    </row>
    <row r="24" spans="1:7" x14ac:dyDescent="0.25">
      <c r="A24" t="s">
        <v>64</v>
      </c>
      <c r="B24" t="s">
        <v>68</v>
      </c>
      <c r="C24" t="s">
        <v>128</v>
      </c>
      <c r="D24">
        <v>93</v>
      </c>
      <c r="E24">
        <v>62</v>
      </c>
      <c r="F24" t="s">
        <v>129</v>
      </c>
      <c r="G24">
        <v>53.12</v>
      </c>
    </row>
    <row r="25" spans="1:7" x14ac:dyDescent="0.25">
      <c r="A25" t="s">
        <v>71</v>
      </c>
      <c r="B25" t="s">
        <v>72</v>
      </c>
      <c r="C25">
        <v>990</v>
      </c>
      <c r="D25">
        <v>54</v>
      </c>
      <c r="E25">
        <v>48</v>
      </c>
      <c r="F25">
        <v>942</v>
      </c>
      <c r="G25">
        <v>31.46</v>
      </c>
    </row>
    <row r="26" spans="1:7" x14ac:dyDescent="0.25">
      <c r="A26" t="s">
        <v>73</v>
      </c>
      <c r="B26" t="s">
        <v>74</v>
      </c>
      <c r="C26" t="s">
        <v>130</v>
      </c>
      <c r="D26">
        <v>51</v>
      </c>
      <c r="E26">
        <v>42</v>
      </c>
      <c r="F26" t="s">
        <v>131</v>
      </c>
      <c r="G26">
        <v>33.049999999999997</v>
      </c>
    </row>
    <row r="27" spans="1:7" x14ac:dyDescent="0.25">
      <c r="A27" t="s">
        <v>77</v>
      </c>
      <c r="B27" t="s">
        <v>78</v>
      </c>
      <c r="C27" t="s">
        <v>132</v>
      </c>
      <c r="D27">
        <v>27</v>
      </c>
      <c r="E27">
        <v>22</v>
      </c>
      <c r="F27" t="s">
        <v>133</v>
      </c>
      <c r="G27">
        <v>36.549999999999997</v>
      </c>
    </row>
    <row r="28" spans="1:7" x14ac:dyDescent="0.25">
      <c r="A28" t="s">
        <v>71</v>
      </c>
      <c r="B28" t="s">
        <v>81</v>
      </c>
      <c r="C28">
        <v>178</v>
      </c>
      <c r="D28">
        <v>33</v>
      </c>
      <c r="E28">
        <v>42</v>
      </c>
      <c r="F28">
        <v>142</v>
      </c>
      <c r="G28">
        <v>13.34</v>
      </c>
    </row>
    <row r="29" spans="1:7" x14ac:dyDescent="0.25">
      <c r="A29" t="s">
        <v>82</v>
      </c>
      <c r="B29" t="s">
        <v>83</v>
      </c>
      <c r="C29">
        <v>12</v>
      </c>
      <c r="D29">
        <v>20</v>
      </c>
      <c r="E29">
        <v>13</v>
      </c>
      <c r="F29">
        <v>-3</v>
      </c>
      <c r="G29">
        <v>3.46</v>
      </c>
    </row>
    <row r="30" spans="1:7" x14ac:dyDescent="0.25">
      <c r="A30" t="s">
        <v>84</v>
      </c>
      <c r="B30" t="s">
        <v>85</v>
      </c>
      <c r="C30" t="s">
        <v>134</v>
      </c>
      <c r="D30">
        <v>286</v>
      </c>
      <c r="E30">
        <v>289</v>
      </c>
      <c r="F30" t="s">
        <v>135</v>
      </c>
      <c r="G30">
        <v>49.46</v>
      </c>
    </row>
    <row r="31" spans="1:7" x14ac:dyDescent="0.25">
      <c r="A31" t="s">
        <v>88</v>
      </c>
      <c r="B31" t="s">
        <v>89</v>
      </c>
      <c r="C31" t="s">
        <v>136</v>
      </c>
      <c r="D31">
        <v>134</v>
      </c>
      <c r="E31">
        <v>122</v>
      </c>
      <c r="F31" t="s">
        <v>137</v>
      </c>
      <c r="G31">
        <v>45.77</v>
      </c>
    </row>
    <row r="32" spans="1:7" x14ac:dyDescent="0.25">
      <c r="A32" t="s">
        <v>92</v>
      </c>
      <c r="B32" t="s">
        <v>93</v>
      </c>
      <c r="C32" t="s">
        <v>138</v>
      </c>
      <c r="D32">
        <v>122</v>
      </c>
      <c r="E32">
        <v>89</v>
      </c>
      <c r="F32" t="s">
        <v>139</v>
      </c>
      <c r="G32">
        <v>41.76</v>
      </c>
    </row>
    <row r="33" spans="1:7" x14ac:dyDescent="0.25">
      <c r="A33" t="s">
        <v>96</v>
      </c>
      <c r="B33" t="s">
        <v>97</v>
      </c>
      <c r="C33">
        <v>256</v>
      </c>
      <c r="D33">
        <v>50</v>
      </c>
      <c r="E33">
        <v>49</v>
      </c>
      <c r="F33">
        <v>209</v>
      </c>
      <c r="G33">
        <v>16</v>
      </c>
    </row>
    <row r="34" spans="1:7" x14ac:dyDescent="0.25">
      <c r="A34" t="s">
        <v>82</v>
      </c>
      <c r="B34" t="s">
        <v>98</v>
      </c>
      <c r="C34">
        <v>310</v>
      </c>
      <c r="D34">
        <v>78</v>
      </c>
      <c r="E34">
        <v>61</v>
      </c>
      <c r="F34">
        <v>246</v>
      </c>
      <c r="G34">
        <v>17.61</v>
      </c>
    </row>
    <row r="35" spans="1:7" x14ac:dyDescent="0.25">
      <c r="A35" t="s">
        <v>82</v>
      </c>
      <c r="B35" t="s">
        <v>99</v>
      </c>
      <c r="C35">
        <v>317</v>
      </c>
      <c r="D35">
        <v>54</v>
      </c>
      <c r="E35">
        <v>52</v>
      </c>
      <c r="F35">
        <v>266</v>
      </c>
      <c r="G35">
        <v>17.8</v>
      </c>
    </row>
    <row r="36" spans="1:7" x14ac:dyDescent="0.25">
      <c r="A36" t="s">
        <v>82</v>
      </c>
      <c r="B36" t="s">
        <v>100</v>
      </c>
      <c r="C36">
        <v>200</v>
      </c>
      <c r="D36">
        <v>42</v>
      </c>
      <c r="E36">
        <v>41</v>
      </c>
      <c r="F36">
        <v>160</v>
      </c>
      <c r="G36">
        <v>14.14</v>
      </c>
    </row>
    <row r="37" spans="1:7" x14ac:dyDescent="0.25">
      <c r="A37" t="s">
        <v>101</v>
      </c>
      <c r="B37" t="s">
        <v>102</v>
      </c>
      <c r="C37">
        <v>535</v>
      </c>
      <c r="D37">
        <v>143</v>
      </c>
      <c r="E37">
        <v>133</v>
      </c>
      <c r="F37">
        <v>373</v>
      </c>
      <c r="G37">
        <v>23.13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80535/60</f>
        <v>1342.25</v>
      </c>
      <c r="H2" s="20">
        <f>3.03-1.8</f>
        <v>1.2299999999999998</v>
      </c>
      <c r="I2" s="20">
        <v>0</v>
      </c>
      <c r="J2" s="20">
        <v>2.1399999999999999E-2</v>
      </c>
      <c r="K2" s="20">
        <v>920</v>
      </c>
      <c r="L2" s="20">
        <v>198</v>
      </c>
      <c r="M2" s="20">
        <v>193</v>
      </c>
      <c r="N2" s="20">
        <f t="shared" ref="N2:N13" si="0">K2-(L2+M2)/2</f>
        <v>724.5</v>
      </c>
      <c r="O2" s="20" t="s">
        <v>1</v>
      </c>
      <c r="P2" s="20">
        <f t="shared" ref="P2:P16" si="1">SQRT((K2+(L2+M2)/2))</f>
        <v>33.399101784329467</v>
      </c>
      <c r="Q2" s="20">
        <f t="shared" ref="Q2:Q16" si="2">N2/G2</f>
        <v>0.53976531942633632</v>
      </c>
      <c r="R2" s="20">
        <f>(Q2/H2/J2)</f>
        <v>20.506242664931861</v>
      </c>
      <c r="S2" s="20" t="s">
        <v>1</v>
      </c>
      <c r="T2" s="20">
        <f>P2/N2*R2</f>
        <v>0.94532793095958423</v>
      </c>
      <c r="U2" s="20">
        <f>R2/60*1000</f>
        <v>341.77071108219769</v>
      </c>
      <c r="V2" s="20" t="s">
        <v>1</v>
      </c>
      <c r="W2" s="20">
        <f>T2/R2*U2</f>
        <v>15.75546551599307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1342.25</v>
      </c>
      <c r="H3" s="21">
        <f>H2</f>
        <v>1.2299999999999998</v>
      </c>
      <c r="I3" s="21">
        <v>0</v>
      </c>
      <c r="J3" s="21">
        <v>0.26</v>
      </c>
      <c r="K3" s="21">
        <v>214</v>
      </c>
      <c r="L3" s="21">
        <v>162</v>
      </c>
      <c r="M3" s="21">
        <v>161</v>
      </c>
      <c r="N3" s="21">
        <f t="shared" si="0"/>
        <v>52.5</v>
      </c>
      <c r="O3" s="21" t="s">
        <v>1</v>
      </c>
      <c r="P3" s="21">
        <f t="shared" si="1"/>
        <v>19.3778223750761</v>
      </c>
      <c r="Q3" s="21">
        <f t="shared" si="2"/>
        <v>3.911342894393742E-2</v>
      </c>
      <c r="R3" s="21">
        <f>Q3/H3/J3</f>
        <v>0.12230590664145537</v>
      </c>
      <c r="S3" s="21" t="s">
        <v>1</v>
      </c>
      <c r="T3" s="21">
        <f>P3/N3*R3</f>
        <v>4.5143278748966904E-2</v>
      </c>
      <c r="U3" s="21">
        <f>R3/60*1000</f>
        <v>2.0384317773575895</v>
      </c>
      <c r="V3" s="21" t="s">
        <v>1</v>
      </c>
      <c r="W3" s="21">
        <f>T3/R3*U3</f>
        <v>0.75238797914944844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1342.25</v>
      </c>
      <c r="H4" s="19">
        <f>H2</f>
        <v>1.2299999999999998</v>
      </c>
      <c r="I4" s="19"/>
      <c r="J4" s="19">
        <v>8.1000000000000003E-2</v>
      </c>
      <c r="K4" s="19">
        <v>1603</v>
      </c>
      <c r="L4" s="19">
        <v>69</v>
      </c>
      <c r="M4" s="19">
        <v>51</v>
      </c>
      <c r="N4" s="19">
        <f t="shared" si="0"/>
        <v>1543</v>
      </c>
      <c r="O4" s="19" t="s">
        <v>1</v>
      </c>
      <c r="P4" s="19">
        <f t="shared" si="1"/>
        <v>40.779897008207364</v>
      </c>
      <c r="Q4" s="19">
        <f t="shared" si="2"/>
        <v>1.149562302104675</v>
      </c>
      <c r="R4" s="19">
        <f>(Q4/H4/J4)</f>
        <v>11.538314785754041</v>
      </c>
      <c r="S4" s="19" t="s">
        <v>1</v>
      </c>
      <c r="T4" s="19">
        <f t="shared" ref="T4:T6" si="3">P4/N4*R4</f>
        <v>0.30494574764181853</v>
      </c>
      <c r="U4" s="19">
        <f t="shared" ref="U4:U6" si="4">R4/60*1000</f>
        <v>192.30524642923402</v>
      </c>
      <c r="V4" s="19" t="s">
        <v>1</v>
      </c>
      <c r="W4" s="19">
        <f t="shared" ref="W4:W6" si="5">T4/R4*U4</f>
        <v>5.0824291273636426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1342.25</v>
      </c>
      <c r="H5" s="19">
        <f>H2</f>
        <v>1.2299999999999998</v>
      </c>
      <c r="I5" s="19">
        <v>2E-3</v>
      </c>
      <c r="J5" s="19">
        <v>0.13700000000000001</v>
      </c>
      <c r="K5" s="19">
        <v>2714</v>
      </c>
      <c r="L5" s="19">
        <v>74</v>
      </c>
      <c r="M5" s="19">
        <v>54</v>
      </c>
      <c r="N5" s="19">
        <f t="shared" si="0"/>
        <v>2650</v>
      </c>
      <c r="O5" s="19" t="s">
        <v>1</v>
      </c>
      <c r="P5" s="19">
        <f t="shared" si="1"/>
        <v>52.706735812417755</v>
      </c>
      <c r="Q5" s="19">
        <f t="shared" si="2"/>
        <v>1.9742968895511268</v>
      </c>
      <c r="R5" s="19">
        <f>(Q5/H5/J5)</f>
        <v>11.716200163498469</v>
      </c>
      <c r="S5" s="19" t="s">
        <v>1</v>
      </c>
      <c r="T5" s="19">
        <f t="shared" si="3"/>
        <v>0.23302742141242244</v>
      </c>
      <c r="U5" s="19">
        <f t="shared" si="4"/>
        <v>195.27000272497446</v>
      </c>
      <c r="V5" s="19" t="s">
        <v>1</v>
      </c>
      <c r="W5" s="19">
        <f t="shared" si="5"/>
        <v>3.8837903568737073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1342.25</v>
      </c>
      <c r="H6" s="19">
        <f>H2</f>
        <v>1.2299999999999998</v>
      </c>
      <c r="I6" s="19">
        <v>2E-3</v>
      </c>
      <c r="J6" s="19">
        <v>4.5999999999999999E-2</v>
      </c>
      <c r="K6" s="19">
        <v>829</v>
      </c>
      <c r="L6" s="19">
        <v>45</v>
      </c>
      <c r="M6" s="19">
        <v>45</v>
      </c>
      <c r="N6" s="19">
        <f t="shared" si="0"/>
        <v>784</v>
      </c>
      <c r="O6" s="19" t="s">
        <v>1</v>
      </c>
      <c r="P6" s="19">
        <f t="shared" si="1"/>
        <v>29.563490998188964</v>
      </c>
      <c r="Q6" s="19">
        <f t="shared" si="2"/>
        <v>0.58409387222946541</v>
      </c>
      <c r="R6" s="19">
        <f>(Q6/H6/J6)</f>
        <v>10.323327540287478</v>
      </c>
      <c r="S6" s="19" t="s">
        <v>1</v>
      </c>
      <c r="T6" s="19">
        <f t="shared" si="3"/>
        <v>0.38927755205184322</v>
      </c>
      <c r="U6" s="19">
        <f t="shared" si="4"/>
        <v>172.05545900479129</v>
      </c>
      <c r="V6" s="19" t="s">
        <v>1</v>
      </c>
      <c r="W6" s="19">
        <f t="shared" si="5"/>
        <v>6.4879592008640534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1342.25</v>
      </c>
      <c r="H7" s="23">
        <f>H2</f>
        <v>1.2299999999999998</v>
      </c>
      <c r="I7" s="23">
        <v>1E-3</v>
      </c>
      <c r="J7" s="23">
        <v>0.247</v>
      </c>
      <c r="K7" s="23">
        <v>611</v>
      </c>
      <c r="L7" s="23">
        <v>46</v>
      </c>
      <c r="M7" s="23">
        <v>52</v>
      </c>
      <c r="N7" s="23">
        <f t="shared" si="0"/>
        <v>562</v>
      </c>
      <c r="O7" s="23" t="s">
        <v>1</v>
      </c>
      <c r="P7" s="23">
        <f t="shared" si="1"/>
        <v>25.690465157330259</v>
      </c>
      <c r="Q7" s="23">
        <f t="shared" si="2"/>
        <v>0.41869994412367295</v>
      </c>
      <c r="R7" s="23">
        <f>Q7/H7/J7</f>
        <v>1.3781638001503342</v>
      </c>
      <c r="S7" s="23" t="s">
        <v>1</v>
      </c>
      <c r="T7" s="23">
        <f>P7/N7*R7</f>
        <v>6.2999411190135274E-2</v>
      </c>
      <c r="U7" s="23">
        <f>R7/60*1000</f>
        <v>22.969396669172237</v>
      </c>
      <c r="V7" s="23" t="s">
        <v>1</v>
      </c>
      <c r="W7" s="23">
        <f>T7/R7*U7</f>
        <v>1.0499901865022545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1342.25</v>
      </c>
      <c r="H8" s="25">
        <f>H2</f>
        <v>1.2299999999999998</v>
      </c>
      <c r="I8" s="25">
        <v>4.0000000000000001E-3</v>
      </c>
      <c r="J8" s="25">
        <v>1.55E-2</v>
      </c>
      <c r="K8" s="25">
        <v>1291</v>
      </c>
      <c r="L8" s="25">
        <v>23</v>
      </c>
      <c r="M8" s="25">
        <v>21</v>
      </c>
      <c r="N8" s="25">
        <f t="shared" si="0"/>
        <v>1269</v>
      </c>
      <c r="O8" s="25" t="s">
        <v>1</v>
      </c>
      <c r="P8" s="25">
        <f t="shared" si="1"/>
        <v>36.235341863986875</v>
      </c>
      <c r="Q8" s="25">
        <f t="shared" si="2"/>
        <v>0.9454274539020302</v>
      </c>
      <c r="R8" s="25">
        <f>Q8/H8/J8</f>
        <v>49.58969073705903</v>
      </c>
      <c r="S8" s="25" t="s">
        <v>1</v>
      </c>
      <c r="T8" s="25">
        <f>P8/N8*R8</f>
        <v>1.4159963725663651</v>
      </c>
      <c r="U8" s="25">
        <f>R8/60*1000</f>
        <v>826.49484561765053</v>
      </c>
      <c r="V8" s="25" t="s">
        <v>1</v>
      </c>
      <c r="W8" s="25">
        <f>T8/R8*U8</f>
        <v>23.599939542772756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1342.25</v>
      </c>
      <c r="H9" s="30">
        <f>H2</f>
        <v>1.2299999999999998</v>
      </c>
      <c r="J9" s="30">
        <v>0.19</v>
      </c>
      <c r="K9" s="30">
        <v>1678</v>
      </c>
      <c r="L9" s="30">
        <v>109</v>
      </c>
      <c r="M9" s="30">
        <v>78</v>
      </c>
      <c r="N9" s="30">
        <f t="shared" si="0"/>
        <v>1584.5</v>
      </c>
      <c r="P9" s="30">
        <f t="shared" si="1"/>
        <v>42.089191011469914</v>
      </c>
      <c r="Q9" s="30">
        <f t="shared" si="2"/>
        <v>1.1804805364127398</v>
      </c>
      <c r="R9" s="30">
        <f t="shared" ref="R9:R13" si="6">Q9/H9/J9</f>
        <v>5.0512645974015404</v>
      </c>
      <c r="S9" s="30" t="s">
        <v>1</v>
      </c>
      <c r="T9" s="30">
        <f t="shared" ref="T9:T16" si="7">P9/N9*R9</f>
        <v>0.13417711611833963</v>
      </c>
      <c r="U9" s="30">
        <f t="shared" ref="U9:U16" si="8">R9/60*1000</f>
        <v>84.187743290025679</v>
      </c>
      <c r="V9" s="30" t="s">
        <v>1</v>
      </c>
      <c r="W9" s="30">
        <f t="shared" ref="W9:W16" si="9">T9/R9*U9</f>
        <v>2.2362852686389942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1342.25</v>
      </c>
      <c r="H10" s="30">
        <f>H2</f>
        <v>1.2299999999999998</v>
      </c>
      <c r="J10" s="30">
        <v>2.5000000000000001E-2</v>
      </c>
      <c r="K10" s="30">
        <v>209</v>
      </c>
      <c r="L10" s="30">
        <v>46</v>
      </c>
      <c r="M10" s="30">
        <v>34</v>
      </c>
      <c r="N10" s="30">
        <f t="shared" si="0"/>
        <v>169</v>
      </c>
      <c r="P10" s="30">
        <f t="shared" si="1"/>
        <v>15.779733838059499</v>
      </c>
      <c r="Q10" s="30">
        <f t="shared" si="2"/>
        <v>0.12590799031476999</v>
      </c>
      <c r="R10" s="30">
        <f t="shared" si="6"/>
        <v>4.0945687907242272</v>
      </c>
      <c r="S10" s="30" t="s">
        <v>1</v>
      </c>
      <c r="T10" s="30">
        <f t="shared" si="7"/>
        <v>0.38231482662280147</v>
      </c>
      <c r="U10" s="30">
        <f t="shared" si="8"/>
        <v>68.242813178737123</v>
      </c>
      <c r="V10" s="30" t="s">
        <v>1</v>
      </c>
      <c r="W10" s="30">
        <f t="shared" si="9"/>
        <v>6.3719137770466912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1342.25</v>
      </c>
      <c r="H11" s="32">
        <f>H2</f>
        <v>1.2299999999999998</v>
      </c>
      <c r="J11" s="32">
        <v>3.1E-2</v>
      </c>
      <c r="K11" s="32">
        <v>281</v>
      </c>
      <c r="L11" s="32">
        <v>54</v>
      </c>
      <c r="M11" s="32">
        <v>53</v>
      </c>
      <c r="N11" s="32">
        <f t="shared" si="0"/>
        <v>227.5</v>
      </c>
      <c r="P11" s="32">
        <f t="shared" si="1"/>
        <v>18.289341158171883</v>
      </c>
      <c r="Q11" s="32">
        <f t="shared" si="2"/>
        <v>0.16949152542372881</v>
      </c>
      <c r="R11" s="32">
        <f t="shared" si="6"/>
        <v>4.4450963919152597</v>
      </c>
      <c r="S11" s="32" t="s">
        <v>1</v>
      </c>
      <c r="T11" s="32">
        <f t="shared" si="7"/>
        <v>0.35735333798987734</v>
      </c>
      <c r="U11" s="32">
        <f t="shared" si="8"/>
        <v>74.084939865254327</v>
      </c>
      <c r="V11" s="32" t="s">
        <v>1</v>
      </c>
      <c r="W11" s="32">
        <f t="shared" si="9"/>
        <v>5.9558889664979562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1342.25</v>
      </c>
      <c r="H12" s="32">
        <f>H2</f>
        <v>1.2299999999999998</v>
      </c>
      <c r="J12" s="32">
        <v>0.03</v>
      </c>
      <c r="K12" s="32">
        <v>304</v>
      </c>
      <c r="L12" s="32">
        <v>52</v>
      </c>
      <c r="M12" s="32">
        <v>39</v>
      </c>
      <c r="N12" s="32">
        <f t="shared" si="0"/>
        <v>258.5</v>
      </c>
      <c r="P12" s="32">
        <f t="shared" si="1"/>
        <v>18.694919095839918</v>
      </c>
      <c r="Q12" s="32">
        <f t="shared" si="2"/>
        <v>0.19258707394300614</v>
      </c>
      <c r="R12" s="32">
        <f t="shared" si="6"/>
        <v>5.2191618954744223</v>
      </c>
      <c r="S12" s="32" t="s">
        <v>1</v>
      </c>
      <c r="T12" s="32">
        <f t="shared" si="7"/>
        <v>0.37745380806183693</v>
      </c>
      <c r="U12" s="32">
        <f t="shared" si="8"/>
        <v>86.986031591240362</v>
      </c>
      <c r="V12" s="32" t="s">
        <v>1</v>
      </c>
      <c r="W12" s="32">
        <f t="shared" si="9"/>
        <v>6.2908968010306143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1342.25</v>
      </c>
      <c r="H13" s="32">
        <f>H2</f>
        <v>1.2299999999999998</v>
      </c>
      <c r="J13" s="32">
        <v>1.7999999999999999E-2</v>
      </c>
      <c r="K13" s="32">
        <v>165</v>
      </c>
      <c r="L13" s="32">
        <v>36</v>
      </c>
      <c r="M13" s="32">
        <v>35</v>
      </c>
      <c r="N13" s="32">
        <f t="shared" si="0"/>
        <v>129.5</v>
      </c>
      <c r="P13" s="32">
        <f t="shared" si="1"/>
        <v>14.159802258506296</v>
      </c>
      <c r="Q13" s="32">
        <f t="shared" si="2"/>
        <v>9.647979139504563E-2</v>
      </c>
      <c r="R13" s="32">
        <f t="shared" si="6"/>
        <v>4.3577141551511138</v>
      </c>
      <c r="S13" s="32" t="s">
        <v>1</v>
      </c>
      <c r="T13" s="32">
        <f t="shared" si="7"/>
        <v>0.47648162730527877</v>
      </c>
      <c r="U13" s="32">
        <f t="shared" si="8"/>
        <v>72.62856925251856</v>
      </c>
      <c r="V13" s="32" t="s">
        <v>1</v>
      </c>
      <c r="W13" s="32">
        <f t="shared" si="9"/>
        <v>7.9413604550879784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1342.25</v>
      </c>
      <c r="H14" s="22">
        <f>H2</f>
        <v>1.2299999999999998</v>
      </c>
      <c r="I14" s="22">
        <v>5.0000000000000001E-3</v>
      </c>
      <c r="J14" s="22">
        <f>J4+J5+J6</f>
        <v>0.26400000000000001</v>
      </c>
      <c r="K14" s="22">
        <f>K4+K5+K6</f>
        <v>5146</v>
      </c>
      <c r="L14" s="22">
        <f>L4+L5+L6</f>
        <v>188</v>
      </c>
      <c r="M14" s="22">
        <f>M4+M5+M6</f>
        <v>150</v>
      </c>
      <c r="N14" s="22">
        <f>N4+N5+N6</f>
        <v>4977</v>
      </c>
      <c r="O14" s="22" t="s">
        <v>1</v>
      </c>
      <c r="P14" s="22">
        <f>SQRT((K14+(L14+M14)/2))</f>
        <v>72.904046526924688</v>
      </c>
      <c r="Q14" s="22">
        <f>N14/G14</f>
        <v>3.7079530638852671</v>
      </c>
      <c r="R14" s="22">
        <f>(Q14/H14/J14)</f>
        <v>11.418924192797695</v>
      </c>
      <c r="S14" s="22" t="s">
        <v>1</v>
      </c>
      <c r="T14" s="22">
        <f>P14/N14*R14</f>
        <v>0.16726658240690156</v>
      </c>
      <c r="U14" s="22">
        <f>R14/60*1000</f>
        <v>190.3154032132949</v>
      </c>
      <c r="V14" s="22" t="s">
        <v>1</v>
      </c>
      <c r="W14" s="22">
        <f>T14/R14*U14</f>
        <v>2.7877763734483594</v>
      </c>
      <c r="X14" s="22"/>
    </row>
    <row r="15" spans="1:25" s="31" customFormat="1" x14ac:dyDescent="0.25">
      <c r="B15" s="31" t="s">
        <v>44</v>
      </c>
      <c r="G15" s="31">
        <f>G14</f>
        <v>1342.25</v>
      </c>
      <c r="H15" s="31">
        <f>H14</f>
        <v>1.2299999999999998</v>
      </c>
      <c r="I15" s="31">
        <v>5.0000000000000001E-3</v>
      </c>
      <c r="J15" s="31">
        <f>J9+J10</f>
        <v>0.215</v>
      </c>
      <c r="K15" s="31">
        <f>K9+K10</f>
        <v>1887</v>
      </c>
      <c r="L15" s="31">
        <f>L9+L10</f>
        <v>155</v>
      </c>
      <c r="M15" s="31">
        <f>M9+M10</f>
        <v>112</v>
      </c>
      <c r="N15" s="31">
        <f>N9+N10</f>
        <v>1753.5</v>
      </c>
      <c r="O15" s="31" t="s">
        <v>1</v>
      </c>
      <c r="P15" s="31">
        <f>SQRT((K15+(L15+M15)/2))</f>
        <v>44.949972191315091</v>
      </c>
      <c r="Q15" s="31">
        <f>N15/G15</f>
        <v>1.3063885267275097</v>
      </c>
      <c r="R15" s="31">
        <f>(Q15/H15/J15)</f>
        <v>4.9400208989506904</v>
      </c>
      <c r="S15" s="31" t="s">
        <v>1</v>
      </c>
      <c r="T15" s="31">
        <f>P15/N15*R15</f>
        <v>0.12663461764034725</v>
      </c>
      <c r="U15" s="31">
        <f>R15/60*1000</f>
        <v>82.333681649178175</v>
      </c>
      <c r="V15" s="31" t="s">
        <v>1</v>
      </c>
      <c r="W15" s="31">
        <f>T15/R15*U15</f>
        <v>2.1105769606724545</v>
      </c>
      <c r="X15" s="31">
        <v>3225</v>
      </c>
    </row>
    <row r="16" spans="1:25" s="33" customFormat="1" x14ac:dyDescent="0.25">
      <c r="B16" s="33" t="s">
        <v>46</v>
      </c>
      <c r="G16" s="33">
        <f>G10</f>
        <v>1342.25</v>
      </c>
      <c r="H16" s="33">
        <f>H10</f>
        <v>1.2299999999999998</v>
      </c>
      <c r="I16" s="33">
        <v>5.0000000000000001E-3</v>
      </c>
      <c r="J16" s="33">
        <f>J11+J12+J13</f>
        <v>7.9000000000000001E-2</v>
      </c>
      <c r="K16" s="33">
        <f>K11+K12+K13</f>
        <v>750</v>
      </c>
      <c r="L16" s="33">
        <f>L11+L12+L13</f>
        <v>142</v>
      </c>
      <c r="M16" s="33">
        <f t="shared" ref="M16" si="10">M11+M12+M13</f>
        <v>127</v>
      </c>
      <c r="N16" s="33">
        <f>N11+N12+N13</f>
        <v>615.5</v>
      </c>
      <c r="O16" s="33" t="s">
        <v>1</v>
      </c>
      <c r="P16" s="33">
        <f t="shared" si="1"/>
        <v>29.740544715926102</v>
      </c>
      <c r="Q16" s="33">
        <f t="shared" si="2"/>
        <v>0.45855839076178057</v>
      </c>
      <c r="R16" s="33">
        <f>(Q16/H16/J16)</f>
        <v>4.7191354405864017</v>
      </c>
      <c r="S16" s="33" t="s">
        <v>1</v>
      </c>
      <c r="T16" s="33">
        <f t="shared" si="7"/>
        <v>0.22802544044073356</v>
      </c>
      <c r="U16" s="33">
        <f t="shared" si="8"/>
        <v>78.652257343106697</v>
      </c>
      <c r="V16" s="33" t="s">
        <v>1</v>
      </c>
      <c r="W16" s="33">
        <f t="shared" si="9"/>
        <v>3.8004240073455593</v>
      </c>
      <c r="X16" s="33">
        <v>3225</v>
      </c>
    </row>
    <row r="18" spans="1:7" x14ac:dyDescent="0.25">
      <c r="A18" t="s">
        <v>328</v>
      </c>
      <c r="B18" t="s">
        <v>329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>
        <v>920</v>
      </c>
      <c r="D21">
        <v>198</v>
      </c>
      <c r="E21">
        <v>193</v>
      </c>
      <c r="F21">
        <v>744</v>
      </c>
      <c r="G21">
        <v>30.33</v>
      </c>
    </row>
    <row r="22" spans="1:7" x14ac:dyDescent="0.25">
      <c r="A22" t="s">
        <v>62</v>
      </c>
      <c r="B22" t="s">
        <v>125</v>
      </c>
      <c r="C22">
        <v>214</v>
      </c>
      <c r="D22">
        <v>162</v>
      </c>
      <c r="E22">
        <v>161</v>
      </c>
      <c r="F22">
        <v>70</v>
      </c>
      <c r="G22">
        <v>14.63</v>
      </c>
    </row>
    <row r="23" spans="1:7" x14ac:dyDescent="0.25">
      <c r="A23" t="s">
        <v>64</v>
      </c>
      <c r="B23" t="s">
        <v>65</v>
      </c>
      <c r="C23" t="s">
        <v>330</v>
      </c>
      <c r="D23">
        <v>69</v>
      </c>
      <c r="E23">
        <v>51</v>
      </c>
      <c r="F23" t="s">
        <v>331</v>
      </c>
      <c r="G23">
        <v>40.04</v>
      </c>
    </row>
    <row r="24" spans="1:7" x14ac:dyDescent="0.25">
      <c r="A24" t="s">
        <v>64</v>
      </c>
      <c r="B24" t="s">
        <v>68</v>
      </c>
      <c r="C24" t="s">
        <v>332</v>
      </c>
      <c r="D24">
        <v>74</v>
      </c>
      <c r="E24">
        <v>54</v>
      </c>
      <c r="F24" t="s">
        <v>333</v>
      </c>
      <c r="G24">
        <v>52.1</v>
      </c>
    </row>
    <row r="25" spans="1:7" x14ac:dyDescent="0.25">
      <c r="A25" t="s">
        <v>71</v>
      </c>
      <c r="B25" t="s">
        <v>72</v>
      </c>
      <c r="C25">
        <v>829</v>
      </c>
      <c r="D25">
        <v>45</v>
      </c>
      <c r="E25">
        <v>45</v>
      </c>
      <c r="F25">
        <v>786</v>
      </c>
      <c r="G25">
        <v>28.79</v>
      </c>
    </row>
    <row r="26" spans="1:7" x14ac:dyDescent="0.25">
      <c r="A26" t="s">
        <v>73</v>
      </c>
      <c r="B26" t="s">
        <v>74</v>
      </c>
      <c r="C26">
        <v>611</v>
      </c>
      <c r="D26">
        <v>46</v>
      </c>
      <c r="E26">
        <v>52</v>
      </c>
      <c r="F26">
        <v>564</v>
      </c>
      <c r="G26">
        <v>24.72</v>
      </c>
    </row>
    <row r="27" spans="1:7" x14ac:dyDescent="0.25">
      <c r="A27" t="s">
        <v>77</v>
      </c>
      <c r="B27" t="s">
        <v>78</v>
      </c>
      <c r="C27" t="s">
        <v>334</v>
      </c>
      <c r="D27">
        <v>23</v>
      </c>
      <c r="E27">
        <v>21</v>
      </c>
      <c r="F27" t="s">
        <v>335</v>
      </c>
      <c r="G27">
        <v>35.93</v>
      </c>
    </row>
    <row r="28" spans="1:7" x14ac:dyDescent="0.25">
      <c r="A28" t="s">
        <v>71</v>
      </c>
      <c r="B28" t="s">
        <v>81</v>
      </c>
      <c r="C28">
        <v>144</v>
      </c>
      <c r="D28">
        <v>39</v>
      </c>
      <c r="E28">
        <v>27</v>
      </c>
      <c r="F28">
        <v>112</v>
      </c>
      <c r="G28">
        <v>12</v>
      </c>
    </row>
    <row r="29" spans="1:7" x14ac:dyDescent="0.25">
      <c r="A29" t="s">
        <v>82</v>
      </c>
      <c r="B29" t="s">
        <v>83</v>
      </c>
      <c r="C29">
        <v>10</v>
      </c>
      <c r="D29">
        <v>17</v>
      </c>
      <c r="E29">
        <v>8</v>
      </c>
      <c r="F29">
        <v>-2</v>
      </c>
      <c r="G29">
        <v>3.16</v>
      </c>
    </row>
    <row r="30" spans="1:7" x14ac:dyDescent="0.25">
      <c r="A30" t="s">
        <v>84</v>
      </c>
      <c r="B30" t="s">
        <v>85</v>
      </c>
      <c r="C30" t="s">
        <v>336</v>
      </c>
      <c r="D30">
        <v>229</v>
      </c>
      <c r="E30">
        <v>233</v>
      </c>
      <c r="F30" t="s">
        <v>337</v>
      </c>
      <c r="G30">
        <v>47.87</v>
      </c>
    </row>
    <row r="31" spans="1:7" x14ac:dyDescent="0.25">
      <c r="A31" t="s">
        <v>88</v>
      </c>
      <c r="B31" t="s">
        <v>89</v>
      </c>
      <c r="C31" t="s">
        <v>338</v>
      </c>
      <c r="D31">
        <v>116</v>
      </c>
      <c r="E31">
        <v>88</v>
      </c>
      <c r="F31" t="s">
        <v>339</v>
      </c>
      <c r="G31">
        <v>44.37</v>
      </c>
    </row>
    <row r="32" spans="1:7" x14ac:dyDescent="0.25">
      <c r="A32" t="s">
        <v>92</v>
      </c>
      <c r="B32" t="s">
        <v>93</v>
      </c>
      <c r="C32" t="s">
        <v>340</v>
      </c>
      <c r="D32">
        <v>109</v>
      </c>
      <c r="E32">
        <v>78</v>
      </c>
      <c r="F32" t="s">
        <v>326</v>
      </c>
      <c r="G32">
        <v>40.96</v>
      </c>
    </row>
    <row r="33" spans="1:7" x14ac:dyDescent="0.25">
      <c r="A33" t="s">
        <v>96</v>
      </c>
      <c r="B33" t="s">
        <v>97</v>
      </c>
      <c r="C33">
        <v>209</v>
      </c>
      <c r="D33">
        <v>46</v>
      </c>
      <c r="E33">
        <v>34</v>
      </c>
      <c r="F33">
        <v>171</v>
      </c>
      <c r="G33">
        <v>14.46</v>
      </c>
    </row>
    <row r="34" spans="1:7" x14ac:dyDescent="0.25">
      <c r="A34" t="s">
        <v>82</v>
      </c>
      <c r="B34" t="s">
        <v>98</v>
      </c>
      <c r="C34">
        <v>281</v>
      </c>
      <c r="D34">
        <v>54</v>
      </c>
      <c r="E34">
        <v>53</v>
      </c>
      <c r="F34">
        <v>232</v>
      </c>
      <c r="G34">
        <v>16.760000000000002</v>
      </c>
    </row>
    <row r="35" spans="1:7" x14ac:dyDescent="0.25">
      <c r="A35" t="s">
        <v>82</v>
      </c>
      <c r="B35" t="s">
        <v>99</v>
      </c>
      <c r="C35">
        <v>304</v>
      </c>
      <c r="D35">
        <v>52</v>
      </c>
      <c r="E35">
        <v>39</v>
      </c>
      <c r="F35">
        <v>260</v>
      </c>
      <c r="G35">
        <v>17.440000000000001</v>
      </c>
    </row>
    <row r="36" spans="1:7" x14ac:dyDescent="0.25">
      <c r="A36" t="s">
        <v>82</v>
      </c>
      <c r="B36" t="s">
        <v>100</v>
      </c>
      <c r="C36">
        <v>165</v>
      </c>
      <c r="D36">
        <v>36</v>
      </c>
      <c r="E36">
        <v>35</v>
      </c>
      <c r="F36">
        <v>131</v>
      </c>
      <c r="G36">
        <v>12.85</v>
      </c>
    </row>
    <row r="37" spans="1:7" x14ac:dyDescent="0.25">
      <c r="A37" t="s">
        <v>101</v>
      </c>
      <c r="B37" t="s">
        <v>102</v>
      </c>
      <c r="C37">
        <v>469</v>
      </c>
      <c r="D37">
        <v>130</v>
      </c>
      <c r="E37">
        <v>110</v>
      </c>
      <c r="F37">
        <v>329</v>
      </c>
      <c r="G37">
        <v>21.66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0.54</v>
      </c>
      <c r="G2" s="20">
        <f>84720/60</f>
        <v>1412</v>
      </c>
      <c r="H2" s="20">
        <f>3.12-1.77</f>
        <v>1.35</v>
      </c>
      <c r="I2" s="20">
        <v>0</v>
      </c>
      <c r="J2" s="20">
        <v>2.1600000000000001E-2</v>
      </c>
      <c r="K2" s="20">
        <v>956</v>
      </c>
      <c r="L2" s="20">
        <v>267</v>
      </c>
      <c r="M2" s="20">
        <v>294</v>
      </c>
      <c r="N2" s="20">
        <f t="shared" ref="N2:N13" si="0">K2-(L2+M2)/2</f>
        <v>675.5</v>
      </c>
      <c r="O2" s="20" t="s">
        <v>1</v>
      </c>
      <c r="P2" s="20">
        <f t="shared" ref="P2:P13" si="1">SQRT((K2+(L2+M2)/2))</f>
        <v>35.163901945034482</v>
      </c>
      <c r="Q2" s="20">
        <f t="shared" ref="Q2:Q13" si="2">N2/G2</f>
        <v>0.47839943342776203</v>
      </c>
      <c r="R2" s="20">
        <f>(Q2/H2/J2)</f>
        <v>16.406016235519957</v>
      </c>
      <c r="S2" s="20" t="s">
        <v>1</v>
      </c>
      <c r="T2" s="20">
        <f>P2/N2*R2</f>
        <v>0.85403337707545157</v>
      </c>
      <c r="U2" s="20">
        <f>R2/60*1000</f>
        <v>273.43360392533259</v>
      </c>
      <c r="V2" s="20" t="s">
        <v>1</v>
      </c>
      <c r="W2" s="20">
        <f>T2/R2*U2</f>
        <v>14.233889617924191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1412</v>
      </c>
      <c r="H3" s="21">
        <f>H2</f>
        <v>1.35</v>
      </c>
      <c r="I3" s="21">
        <v>0</v>
      </c>
      <c r="J3" s="21">
        <v>0.26</v>
      </c>
      <c r="K3" s="21">
        <v>251</v>
      </c>
      <c r="L3" s="21">
        <v>221</v>
      </c>
      <c r="M3" s="21">
        <v>234</v>
      </c>
      <c r="N3" s="21">
        <f t="shared" si="0"/>
        <v>23.5</v>
      </c>
      <c r="O3" s="21" t="s">
        <v>1</v>
      </c>
      <c r="P3" s="21">
        <f t="shared" si="1"/>
        <v>21.874642854227357</v>
      </c>
      <c r="Q3" s="21">
        <f t="shared" si="2"/>
        <v>1.6643059490084985E-2</v>
      </c>
      <c r="R3" s="21">
        <f>Q3/H3/J3</f>
        <v>4.7416123903376017E-2</v>
      </c>
      <c r="S3" s="21" t="s">
        <v>1</v>
      </c>
      <c r="T3" s="21">
        <f>P3/N3*R3</f>
        <v>4.4136628762474178E-2</v>
      </c>
      <c r="U3" s="21">
        <f>R3/60*1000</f>
        <v>0.79026873172293366</v>
      </c>
      <c r="V3" s="21" t="s">
        <v>1</v>
      </c>
      <c r="W3" s="21">
        <f>T3/R3*U3</f>
        <v>0.73561047937456969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0.43229166666666669</v>
      </c>
      <c r="G4" s="19">
        <f>G2</f>
        <v>1412</v>
      </c>
      <c r="H4" s="19">
        <f>H2</f>
        <v>1.35</v>
      </c>
      <c r="I4" s="19"/>
      <c r="J4" s="19">
        <v>8.3000000000000004E-2</v>
      </c>
      <c r="K4" s="19">
        <v>1851</v>
      </c>
      <c r="L4" s="19">
        <v>84</v>
      </c>
      <c r="M4" s="19">
        <v>78</v>
      </c>
      <c r="N4" s="19">
        <f t="shared" si="0"/>
        <v>1770</v>
      </c>
      <c r="O4" s="19" t="s">
        <v>1</v>
      </c>
      <c r="P4" s="19">
        <f t="shared" si="1"/>
        <v>43.954521951671822</v>
      </c>
      <c r="Q4" s="19">
        <f t="shared" si="2"/>
        <v>1.2535410764872521</v>
      </c>
      <c r="R4" s="19">
        <f>(Q4/H4/J4)</f>
        <v>11.187336693326657</v>
      </c>
      <c r="S4" s="19" t="s">
        <v>1</v>
      </c>
      <c r="T4" s="19">
        <f t="shared" ref="T4:T6" si="3">P4/N4*R4</f>
        <v>0.27781583969919221</v>
      </c>
      <c r="U4" s="19">
        <f t="shared" ref="U4:U6" si="4">R4/60*1000</f>
        <v>186.45561155544428</v>
      </c>
      <c r="V4" s="19" t="s">
        <v>1</v>
      </c>
      <c r="W4" s="19">
        <f t="shared" ref="W4:W6" si="5">T4/R4*U4</f>
        <v>4.630263994986537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0.37601078167115909</v>
      </c>
      <c r="G5" s="19">
        <f>G2</f>
        <v>1412</v>
      </c>
      <c r="H5" s="19">
        <f>H2</f>
        <v>1.35</v>
      </c>
      <c r="I5" s="19">
        <v>2E-3</v>
      </c>
      <c r="J5" s="19">
        <v>0.13600000000000001</v>
      </c>
      <c r="K5" s="19">
        <v>3117</v>
      </c>
      <c r="L5" s="19">
        <v>86</v>
      </c>
      <c r="M5" s="19">
        <v>76</v>
      </c>
      <c r="N5" s="19">
        <f t="shared" si="0"/>
        <v>3036</v>
      </c>
      <c r="O5" s="19" t="s">
        <v>1</v>
      </c>
      <c r="P5" s="19">
        <f t="shared" si="1"/>
        <v>56.550862062394771</v>
      </c>
      <c r="Q5" s="19">
        <f t="shared" si="2"/>
        <v>2.1501416430594902</v>
      </c>
      <c r="R5" s="19">
        <f>(Q5/H5/J5)</f>
        <v>11.711011127774999</v>
      </c>
      <c r="S5" s="19" t="s">
        <v>1</v>
      </c>
      <c r="T5" s="19">
        <f t="shared" si="3"/>
        <v>0.21813826577667134</v>
      </c>
      <c r="U5" s="19">
        <f t="shared" si="4"/>
        <v>195.18351879624998</v>
      </c>
      <c r="V5" s="19" t="s">
        <v>1</v>
      </c>
      <c r="W5" s="19">
        <f t="shared" si="5"/>
        <v>3.6356377629445222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0.10021691973969631</v>
      </c>
      <c r="G6" s="19">
        <f>G2</f>
        <v>1412</v>
      </c>
      <c r="H6" s="19">
        <f>H2</f>
        <v>1.35</v>
      </c>
      <c r="I6" s="19">
        <v>2E-3</v>
      </c>
      <c r="J6" s="19">
        <v>4.6199999999999998E-2</v>
      </c>
      <c r="K6" s="19">
        <v>1033</v>
      </c>
      <c r="L6" s="19">
        <v>54</v>
      </c>
      <c r="M6" s="19">
        <v>61</v>
      </c>
      <c r="N6" s="19">
        <f t="shared" si="0"/>
        <v>975.5</v>
      </c>
      <c r="O6" s="19" t="s">
        <v>1</v>
      </c>
      <c r="P6" s="19">
        <f t="shared" si="1"/>
        <v>33.022719451916736</v>
      </c>
      <c r="Q6" s="19">
        <f t="shared" si="2"/>
        <v>0.69086402266288949</v>
      </c>
      <c r="R6" s="19">
        <f>(Q6/H6/J6)</f>
        <v>11.0768642402259</v>
      </c>
      <c r="S6" s="19" t="s">
        <v>1</v>
      </c>
      <c r="T6" s="19">
        <f t="shared" si="3"/>
        <v>0.37497506941255632</v>
      </c>
      <c r="U6" s="19">
        <f t="shared" si="4"/>
        <v>184.614404003765</v>
      </c>
      <c r="V6" s="19" t="s">
        <v>1</v>
      </c>
      <c r="W6" s="19">
        <f t="shared" si="5"/>
        <v>6.2495844902092719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0.23044197589222409</v>
      </c>
      <c r="G7" s="23">
        <f>G2</f>
        <v>1412</v>
      </c>
      <c r="H7" s="23">
        <f>H2</f>
        <v>1.35</v>
      </c>
      <c r="I7" s="23">
        <v>1E-3</v>
      </c>
      <c r="J7" s="23">
        <v>0.19500000000000001</v>
      </c>
      <c r="K7" s="23">
        <v>523</v>
      </c>
      <c r="L7" s="23">
        <v>67</v>
      </c>
      <c r="M7" s="23">
        <v>65</v>
      </c>
      <c r="N7" s="23">
        <f t="shared" si="0"/>
        <v>457</v>
      </c>
      <c r="O7" s="23" t="s">
        <v>1</v>
      </c>
      <c r="P7" s="23">
        <f t="shared" si="1"/>
        <v>24.269322199023193</v>
      </c>
      <c r="Q7" s="23">
        <f t="shared" si="2"/>
        <v>0.32365439093484422</v>
      </c>
      <c r="R7" s="23">
        <f>Q7/H7/J7</f>
        <v>1.2294563758208705</v>
      </c>
      <c r="S7" s="23" t="s">
        <v>1</v>
      </c>
      <c r="T7" s="23">
        <f>P7/N7*R7</f>
        <v>6.529118799658655E-2</v>
      </c>
      <c r="U7" s="23">
        <f>R7/60*1000</f>
        <v>20.49093959701451</v>
      </c>
      <c r="V7" s="23" t="s">
        <v>1</v>
      </c>
      <c r="W7" s="23">
        <f>T7/R7*U7</f>
        <v>1.088186466609776</v>
      </c>
      <c r="X7" s="23">
        <v>335</v>
      </c>
    </row>
    <row r="8" spans="1:25" x14ac:dyDescent="0.25">
      <c r="A8" s="25" t="s">
        <v>22</v>
      </c>
      <c r="B8" s="25" t="s">
        <v>25</v>
      </c>
      <c r="C8" s="25">
        <v>1460</v>
      </c>
      <c r="D8" s="25">
        <v>20</v>
      </c>
      <c r="E8" s="25">
        <v>0.107</v>
      </c>
      <c r="F8" s="25">
        <v>0.11869158878504672</v>
      </c>
      <c r="G8" s="25">
        <f>G2</f>
        <v>1412</v>
      </c>
      <c r="H8" s="25">
        <f>H2</f>
        <v>1.35</v>
      </c>
      <c r="I8" s="25">
        <v>4.0000000000000001E-3</v>
      </c>
      <c r="J8" s="25">
        <v>1.2699999999999999E-2</v>
      </c>
      <c r="K8" s="25">
        <v>1420</v>
      </c>
      <c r="L8" s="25">
        <v>34</v>
      </c>
      <c r="M8" s="25">
        <v>24</v>
      </c>
      <c r="N8" s="25">
        <f t="shared" si="0"/>
        <v>1391</v>
      </c>
      <c r="O8" s="25" t="s">
        <v>1</v>
      </c>
      <c r="P8" s="25">
        <f t="shared" si="1"/>
        <v>38.065732621348559</v>
      </c>
      <c r="Q8" s="25">
        <f t="shared" si="2"/>
        <v>0.98512747875354112</v>
      </c>
      <c r="R8" s="25">
        <f>Q8/H8/J8</f>
        <v>57.458587270547746</v>
      </c>
      <c r="S8" s="25" t="s">
        <v>1</v>
      </c>
      <c r="T8" s="25">
        <f>P8/N8*R8</f>
        <v>1.5723962759461483</v>
      </c>
      <c r="U8" s="25">
        <f>R8/60*1000</f>
        <v>957.64312117579573</v>
      </c>
      <c r="V8" s="25" t="s">
        <v>1</v>
      </c>
      <c r="W8" s="25">
        <f>T8/R8*U8</f>
        <v>26.206604599102473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14</v>
      </c>
      <c r="E9" s="30">
        <v>0.43099999999999999</v>
      </c>
      <c r="G9" s="30">
        <f>G3</f>
        <v>1412</v>
      </c>
      <c r="H9" s="30">
        <f>H2</f>
        <v>1.35</v>
      </c>
      <c r="J9" s="30">
        <v>0.191</v>
      </c>
      <c r="K9" s="30">
        <v>1860</v>
      </c>
      <c r="L9" s="30">
        <v>140</v>
      </c>
      <c r="M9" s="30">
        <v>103</v>
      </c>
      <c r="N9" s="30">
        <f t="shared" si="0"/>
        <v>1738.5</v>
      </c>
      <c r="P9" s="30">
        <f t="shared" si="1"/>
        <v>44.51404272810997</v>
      </c>
      <c r="Q9" s="30">
        <f t="shared" si="2"/>
        <v>1.2312322946175638</v>
      </c>
      <c r="R9" s="30">
        <f t="shared" ref="R9:R13" si="6">Q9/H9/J9</f>
        <v>4.774994355701236</v>
      </c>
      <c r="S9" s="30" t="s">
        <v>1</v>
      </c>
      <c r="T9" s="30">
        <f t="shared" ref="T9:T13" si="7">P9/N9*R9</f>
        <v>0.12226304444991012</v>
      </c>
      <c r="U9" s="30">
        <f t="shared" ref="U9:U13" si="8">R9/60*1000</f>
        <v>79.583239261687268</v>
      </c>
      <c r="V9" s="30" t="s">
        <v>1</v>
      </c>
      <c r="W9" s="30">
        <f t="shared" ref="W9:W13" si="9">T9/R9*U9</f>
        <v>2.0377174074985018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15</v>
      </c>
      <c r="G10" s="30">
        <f>G4</f>
        <v>1412</v>
      </c>
      <c r="H10" s="30">
        <f>H2</f>
        <v>1.35</v>
      </c>
      <c r="J10" s="30">
        <v>2.5000000000000001E-2</v>
      </c>
      <c r="K10" s="30">
        <v>265</v>
      </c>
      <c r="L10" s="30">
        <v>126</v>
      </c>
      <c r="M10" s="30">
        <v>99</v>
      </c>
      <c r="N10" s="30">
        <f t="shared" si="0"/>
        <v>152.5</v>
      </c>
      <c r="P10" s="30">
        <f t="shared" si="1"/>
        <v>19.429359227725449</v>
      </c>
      <c r="Q10" s="30">
        <f t="shared" si="2"/>
        <v>0.10800283286118981</v>
      </c>
      <c r="R10" s="30">
        <f t="shared" si="6"/>
        <v>3.2000839366278457</v>
      </c>
      <c r="S10" s="30" t="s">
        <v>1</v>
      </c>
      <c r="T10" s="30">
        <f t="shared" si="7"/>
        <v>0.40770872369584404</v>
      </c>
      <c r="U10" s="30">
        <f t="shared" si="8"/>
        <v>53.334732277130769</v>
      </c>
      <c r="V10" s="30" t="s">
        <v>1</v>
      </c>
      <c r="W10" s="30">
        <f t="shared" si="9"/>
        <v>6.795145394930735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1412</v>
      </c>
      <c r="H11" s="32">
        <f>H2</f>
        <v>1.35</v>
      </c>
      <c r="J11" s="32">
        <v>3.1899999999999998E-2</v>
      </c>
      <c r="K11" s="32">
        <v>355</v>
      </c>
      <c r="L11" s="32">
        <v>59</v>
      </c>
      <c r="M11" s="32">
        <v>52</v>
      </c>
      <c r="N11" s="32">
        <f t="shared" si="0"/>
        <v>299.5</v>
      </c>
      <c r="P11" s="32">
        <f t="shared" si="1"/>
        <v>20.260799589354811</v>
      </c>
      <c r="Q11" s="32">
        <f t="shared" si="2"/>
        <v>0.21211048158640228</v>
      </c>
      <c r="R11" s="32">
        <f t="shared" si="6"/>
        <v>4.9253565908836006</v>
      </c>
      <c r="S11" s="32" t="s">
        <v>1</v>
      </c>
      <c r="T11" s="32">
        <f t="shared" si="7"/>
        <v>0.33319419964607833</v>
      </c>
      <c r="U11" s="32">
        <f t="shared" si="8"/>
        <v>82.089276514726677</v>
      </c>
      <c r="V11" s="32" t="s">
        <v>1</v>
      </c>
      <c r="W11" s="32">
        <f t="shared" si="9"/>
        <v>5.553236660767972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1412</v>
      </c>
      <c r="H12" s="32">
        <f>H2</f>
        <v>1.35</v>
      </c>
      <c r="J12" s="32">
        <v>3.0499999999999999E-2</v>
      </c>
      <c r="K12" s="32">
        <v>305</v>
      </c>
      <c r="L12" s="32">
        <v>74</v>
      </c>
      <c r="M12" s="32">
        <v>56</v>
      </c>
      <c r="N12" s="32">
        <f t="shared" si="0"/>
        <v>240</v>
      </c>
      <c r="P12" s="32">
        <f t="shared" si="1"/>
        <v>19.235384061671343</v>
      </c>
      <c r="Q12" s="32">
        <f t="shared" si="2"/>
        <v>0.16997167138810199</v>
      </c>
      <c r="R12" s="32">
        <f t="shared" si="6"/>
        <v>4.1280308776709642</v>
      </c>
      <c r="S12" s="32" t="s">
        <v>1</v>
      </c>
      <c r="T12" s="32">
        <f t="shared" si="7"/>
        <v>0.33085108062683011</v>
      </c>
      <c r="U12" s="32">
        <f t="shared" si="8"/>
        <v>68.80051462784941</v>
      </c>
      <c r="V12" s="32" t="s">
        <v>1</v>
      </c>
      <c r="W12" s="32">
        <f t="shared" si="9"/>
        <v>5.5141846771138354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1412</v>
      </c>
      <c r="H13" s="32">
        <f>H2</f>
        <v>1.35</v>
      </c>
      <c r="J13" s="32">
        <v>4.1999999999999997E-3</v>
      </c>
      <c r="K13" s="32">
        <v>212</v>
      </c>
      <c r="L13" s="32">
        <v>61</v>
      </c>
      <c r="M13" s="32">
        <v>58</v>
      </c>
      <c r="N13" s="32">
        <f t="shared" si="0"/>
        <v>152.5</v>
      </c>
      <c r="P13" s="32">
        <f t="shared" si="1"/>
        <v>16.477257053284081</v>
      </c>
      <c r="Q13" s="32">
        <f t="shared" si="2"/>
        <v>0.10800283286118981</v>
      </c>
      <c r="R13" s="32">
        <f t="shared" si="6"/>
        <v>19.048118670403849</v>
      </c>
      <c r="S13" s="32" t="s">
        <v>1</v>
      </c>
      <c r="T13" s="32">
        <f t="shared" si="7"/>
        <v>2.0581032636964198</v>
      </c>
      <c r="U13" s="32">
        <f t="shared" si="8"/>
        <v>317.46864450673081</v>
      </c>
      <c r="V13" s="32" t="s">
        <v>1</v>
      </c>
      <c r="W13" s="32">
        <f t="shared" si="9"/>
        <v>34.301721061606997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1412</v>
      </c>
      <c r="H14" s="22">
        <f>H2</f>
        <v>1.35</v>
      </c>
      <c r="I14" s="22">
        <v>5.0000000000000001E-3</v>
      </c>
      <c r="J14" s="22">
        <f>J4+J5+J6</f>
        <v>0.26520000000000005</v>
      </c>
      <c r="K14" s="22">
        <f>K4+K5+K6</f>
        <v>6001</v>
      </c>
      <c r="L14" s="22">
        <f>L4+L5+L6</f>
        <v>224</v>
      </c>
      <c r="M14" s="22">
        <f>M4+M5+M6</f>
        <v>215</v>
      </c>
      <c r="N14" s="22">
        <f>N4+N5+N6</f>
        <v>5781.5</v>
      </c>
      <c r="O14" s="22" t="s">
        <v>1</v>
      </c>
      <c r="P14" s="22">
        <f>SQRT((K14+(L14+M14)/2))</f>
        <v>78.870146443378687</v>
      </c>
      <c r="Q14" s="22">
        <f>N14/G14</f>
        <v>4.0945467422096318</v>
      </c>
      <c r="R14" s="22">
        <f>(Q14/H14/J14)</f>
        <v>11.436642484245658</v>
      </c>
      <c r="S14" s="22" t="s">
        <v>1</v>
      </c>
      <c r="T14" s="22">
        <f>P14/N14*R14</f>
        <v>0.15601654718550917</v>
      </c>
      <c r="U14" s="22">
        <f>R14/60*1000</f>
        <v>190.61070807076098</v>
      </c>
      <c r="V14" s="22" t="s">
        <v>1</v>
      </c>
      <c r="W14" s="22">
        <f>T14/R14*U14</f>
        <v>2.6002757864251529</v>
      </c>
      <c r="X14" s="22"/>
    </row>
    <row r="15" spans="1:25" s="31" customFormat="1" x14ac:dyDescent="0.25">
      <c r="B15" s="31" t="s">
        <v>44</v>
      </c>
      <c r="G15" s="31">
        <f>G14</f>
        <v>1412</v>
      </c>
      <c r="H15" s="31">
        <f>H14</f>
        <v>1.35</v>
      </c>
      <c r="I15" s="31">
        <v>5.0000000000000001E-3</v>
      </c>
      <c r="J15" s="31">
        <f>J9+J10</f>
        <v>0.216</v>
      </c>
      <c r="K15" s="31">
        <f>K9+K10</f>
        <v>2125</v>
      </c>
      <c r="L15" s="31">
        <f>L9+L10</f>
        <v>266</v>
      </c>
      <c r="M15" s="31">
        <f>M9+M10</f>
        <v>202</v>
      </c>
      <c r="N15" s="31">
        <f>N9+N10</f>
        <v>1891</v>
      </c>
      <c r="O15" s="31" t="s">
        <v>1</v>
      </c>
      <c r="P15" s="31">
        <f>SQRT((K15+(L15+M15)/2))</f>
        <v>48.569537778323564</v>
      </c>
      <c r="Q15" s="31">
        <f>N15/G15</f>
        <v>1.3392351274787535</v>
      </c>
      <c r="R15" s="31">
        <f>(Q15/H15/J15)</f>
        <v>4.5927130571973711</v>
      </c>
      <c r="S15" s="31" t="s">
        <v>1</v>
      </c>
      <c r="T15" s="31">
        <f>P15/N15*R15</f>
        <v>0.11796189864439324</v>
      </c>
      <c r="U15" s="31">
        <f>R15/60*1000</f>
        <v>76.545217619956176</v>
      </c>
      <c r="V15" s="31" t="s">
        <v>1</v>
      </c>
      <c r="W15" s="31">
        <f>T15/R15*U15</f>
        <v>1.9660316440732206</v>
      </c>
      <c r="X15" s="31">
        <v>3225</v>
      </c>
    </row>
    <row r="16" spans="1:25" s="33" customFormat="1" x14ac:dyDescent="0.25">
      <c r="B16" s="33" t="s">
        <v>46</v>
      </c>
      <c r="G16" s="33">
        <f>G10</f>
        <v>1412</v>
      </c>
      <c r="H16" s="33">
        <f>H10</f>
        <v>1.35</v>
      </c>
      <c r="I16" s="33">
        <v>5.0000000000000001E-3</v>
      </c>
      <c r="J16" s="33">
        <f>J11+J12+J13</f>
        <v>6.6599999999999993E-2</v>
      </c>
      <c r="K16" s="33">
        <f>K11+K12+K13</f>
        <v>872</v>
      </c>
      <c r="L16" s="33">
        <f>L11+L12+L13</f>
        <v>194</v>
      </c>
      <c r="M16" s="33">
        <f t="shared" ref="M16" si="10">M11+M12+M13</f>
        <v>166</v>
      </c>
      <c r="N16" s="33">
        <f>N11+N12+N13</f>
        <v>692</v>
      </c>
      <c r="O16" s="33" t="s">
        <v>1</v>
      </c>
      <c r="P16" s="33">
        <f t="shared" ref="P16" si="11">SQRT((K16+(L16+M16)/2))</f>
        <v>32.434549480453711</v>
      </c>
      <c r="Q16" s="33">
        <f t="shared" ref="Q16" si="12">N16/G16</f>
        <v>0.49008498583569404</v>
      </c>
      <c r="R16" s="33">
        <f>(Q16/H16/J16)</f>
        <v>5.4508395710787907</v>
      </c>
      <c r="S16" s="33" t="s">
        <v>1</v>
      </c>
      <c r="T16" s="33">
        <f t="shared" ref="T16" si="13">P16/N16*R16</f>
        <v>0.25548486384128627</v>
      </c>
      <c r="U16" s="33">
        <f t="shared" ref="U16" si="14">R16/60*1000</f>
        <v>90.847326184646519</v>
      </c>
      <c r="V16" s="33" t="s">
        <v>1</v>
      </c>
      <c r="W16" s="33">
        <f t="shared" ref="W16" si="15">T16/R16*U16</f>
        <v>4.2580810640214377</v>
      </c>
      <c r="X16" s="33">
        <v>3225</v>
      </c>
    </row>
    <row r="18" spans="1:7" x14ac:dyDescent="0.25">
      <c r="A18" t="s">
        <v>224</v>
      </c>
      <c r="B18" t="s">
        <v>225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226</v>
      </c>
      <c r="C21">
        <v>956</v>
      </c>
      <c r="D21">
        <v>267</v>
      </c>
      <c r="E21">
        <v>294</v>
      </c>
      <c r="F21">
        <v>703</v>
      </c>
      <c r="G21">
        <v>30.92</v>
      </c>
    </row>
    <row r="22" spans="1:7" x14ac:dyDescent="0.25">
      <c r="A22" t="s">
        <v>84</v>
      </c>
      <c r="B22" t="s">
        <v>227</v>
      </c>
      <c r="C22">
        <v>251</v>
      </c>
      <c r="D22">
        <v>221</v>
      </c>
      <c r="E22">
        <v>234</v>
      </c>
      <c r="F22">
        <v>48</v>
      </c>
      <c r="G22">
        <v>15.84</v>
      </c>
    </row>
    <row r="23" spans="1:7" x14ac:dyDescent="0.25">
      <c r="A23" t="s">
        <v>64</v>
      </c>
      <c r="B23" t="s">
        <v>228</v>
      </c>
      <c r="C23" t="s">
        <v>229</v>
      </c>
      <c r="D23">
        <v>84</v>
      </c>
      <c r="E23">
        <v>78</v>
      </c>
      <c r="F23" t="s">
        <v>230</v>
      </c>
      <c r="G23">
        <v>43.02</v>
      </c>
    </row>
    <row r="24" spans="1:7" x14ac:dyDescent="0.25">
      <c r="A24" t="s">
        <v>64</v>
      </c>
      <c r="B24" t="s">
        <v>231</v>
      </c>
      <c r="C24" t="s">
        <v>232</v>
      </c>
      <c r="D24">
        <v>86</v>
      </c>
      <c r="E24">
        <v>76</v>
      </c>
      <c r="F24" t="s">
        <v>233</v>
      </c>
      <c r="G24">
        <v>55.83</v>
      </c>
    </row>
    <row r="25" spans="1:7" x14ac:dyDescent="0.25">
      <c r="A25" t="s">
        <v>71</v>
      </c>
      <c r="B25" t="s">
        <v>234</v>
      </c>
      <c r="C25" t="s">
        <v>235</v>
      </c>
      <c r="D25">
        <v>54</v>
      </c>
      <c r="E25">
        <v>61</v>
      </c>
      <c r="F25">
        <v>978</v>
      </c>
      <c r="G25">
        <v>32.14</v>
      </c>
    </row>
    <row r="26" spans="1:7" x14ac:dyDescent="0.25">
      <c r="A26" t="s">
        <v>73</v>
      </c>
      <c r="B26" t="s">
        <v>236</v>
      </c>
      <c r="C26">
        <v>523</v>
      </c>
      <c r="D26">
        <v>67</v>
      </c>
      <c r="E26">
        <v>65</v>
      </c>
      <c r="F26">
        <v>460</v>
      </c>
      <c r="G26">
        <v>22.87</v>
      </c>
    </row>
    <row r="27" spans="1:7" x14ac:dyDescent="0.25">
      <c r="A27" t="s">
        <v>77</v>
      </c>
      <c r="B27" t="s">
        <v>237</v>
      </c>
      <c r="C27" t="s">
        <v>238</v>
      </c>
      <c r="D27">
        <v>34</v>
      </c>
      <c r="E27">
        <v>24</v>
      </c>
      <c r="F27" t="s">
        <v>239</v>
      </c>
      <c r="G27">
        <v>37.68</v>
      </c>
    </row>
    <row r="28" spans="1:7" x14ac:dyDescent="0.25">
      <c r="A28" t="s">
        <v>71</v>
      </c>
      <c r="B28" t="s">
        <v>240</v>
      </c>
      <c r="C28">
        <v>200</v>
      </c>
      <c r="D28">
        <v>55</v>
      </c>
      <c r="E28">
        <v>48</v>
      </c>
      <c r="F28">
        <v>144</v>
      </c>
      <c r="G28">
        <v>14.14</v>
      </c>
    </row>
    <row r="29" spans="1:7" x14ac:dyDescent="0.25">
      <c r="A29" t="s">
        <v>84</v>
      </c>
      <c r="B29" t="s">
        <v>241</v>
      </c>
      <c r="C29" t="s">
        <v>242</v>
      </c>
      <c r="D29">
        <v>281</v>
      </c>
      <c r="E29">
        <v>281</v>
      </c>
      <c r="F29" t="s">
        <v>243</v>
      </c>
      <c r="G29">
        <v>51.04</v>
      </c>
    </row>
    <row r="30" spans="1:7" x14ac:dyDescent="0.25">
      <c r="A30" t="s">
        <v>88</v>
      </c>
      <c r="B30" t="s">
        <v>244</v>
      </c>
      <c r="C30" t="s">
        <v>135</v>
      </c>
      <c r="D30">
        <v>0</v>
      </c>
      <c r="E30">
        <v>0</v>
      </c>
      <c r="F30" t="s">
        <v>135</v>
      </c>
      <c r="G30">
        <v>46.77</v>
      </c>
    </row>
    <row r="31" spans="1:7" x14ac:dyDescent="0.25">
      <c r="A31" t="s">
        <v>92</v>
      </c>
      <c r="B31" t="s">
        <v>245</v>
      </c>
      <c r="C31" t="s">
        <v>246</v>
      </c>
      <c r="D31">
        <v>140</v>
      </c>
      <c r="E31">
        <v>103</v>
      </c>
      <c r="F31" t="s">
        <v>247</v>
      </c>
      <c r="G31">
        <v>43.13</v>
      </c>
    </row>
    <row r="32" spans="1:7" x14ac:dyDescent="0.25">
      <c r="A32" t="s">
        <v>96</v>
      </c>
      <c r="B32" t="s">
        <v>248</v>
      </c>
      <c r="C32">
        <v>265</v>
      </c>
      <c r="D32">
        <v>126</v>
      </c>
      <c r="E32">
        <v>99</v>
      </c>
      <c r="F32">
        <v>152</v>
      </c>
      <c r="G32">
        <v>16.28</v>
      </c>
    </row>
    <row r="33" spans="1:7" x14ac:dyDescent="0.25">
      <c r="A33" t="s">
        <v>82</v>
      </c>
      <c r="B33" t="s">
        <v>249</v>
      </c>
      <c r="C33">
        <v>355</v>
      </c>
      <c r="D33">
        <v>59</v>
      </c>
      <c r="E33">
        <v>52</v>
      </c>
      <c r="F33">
        <v>320</v>
      </c>
      <c r="G33">
        <v>18.84</v>
      </c>
    </row>
    <row r="34" spans="1:7" x14ac:dyDescent="0.25">
      <c r="A34" t="s">
        <v>82</v>
      </c>
      <c r="B34" t="s">
        <v>250</v>
      </c>
      <c r="C34">
        <v>305</v>
      </c>
      <c r="D34">
        <v>74</v>
      </c>
      <c r="E34">
        <v>56</v>
      </c>
      <c r="F34">
        <v>192</v>
      </c>
      <c r="G34">
        <v>17.46</v>
      </c>
    </row>
    <row r="35" spans="1:7" x14ac:dyDescent="0.25">
      <c r="A35" t="s">
        <v>82</v>
      </c>
      <c r="B35" t="s">
        <v>251</v>
      </c>
      <c r="C35">
        <v>212</v>
      </c>
      <c r="D35">
        <v>61</v>
      </c>
      <c r="E35">
        <v>58</v>
      </c>
      <c r="F35">
        <v>158</v>
      </c>
      <c r="G35">
        <v>14.56</v>
      </c>
    </row>
    <row r="36" spans="1:7" x14ac:dyDescent="0.25">
      <c r="A36" t="s">
        <v>252</v>
      </c>
      <c r="B36" t="s">
        <v>253</v>
      </c>
      <c r="C36">
        <v>81</v>
      </c>
      <c r="D36">
        <v>42</v>
      </c>
      <c r="E36">
        <v>47</v>
      </c>
      <c r="F36">
        <v>55</v>
      </c>
      <c r="G36">
        <v>9</v>
      </c>
    </row>
    <row r="37" spans="1:7" x14ac:dyDescent="0.25">
      <c r="A37" t="s">
        <v>252</v>
      </c>
      <c r="B37" t="s">
        <v>254</v>
      </c>
      <c r="C37">
        <v>11</v>
      </c>
      <c r="D37">
        <v>34</v>
      </c>
      <c r="E37">
        <v>45</v>
      </c>
      <c r="F37">
        <v>-58</v>
      </c>
      <c r="G37">
        <v>3.32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7"/>
  <sheetViews>
    <sheetView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83133/60</f>
        <v>1385.55</v>
      </c>
      <c r="H2" s="20">
        <f>3.03-1.76</f>
        <v>1.2699999999999998</v>
      </c>
      <c r="I2" s="20">
        <v>0</v>
      </c>
      <c r="J2" s="20">
        <v>2.1399999999999999E-2</v>
      </c>
      <c r="K2" s="20">
        <v>872</v>
      </c>
      <c r="L2" s="20">
        <v>203</v>
      </c>
      <c r="M2" s="20">
        <v>241</v>
      </c>
      <c r="N2" s="20">
        <f t="shared" ref="N2:N13" si="0">K2-(L2+M2)/2</f>
        <v>650</v>
      </c>
      <c r="O2" s="20" t="s">
        <v>1</v>
      </c>
      <c r="P2" s="20">
        <f t="shared" ref="P2:P16" si="1">SQRT((K2+(L2+M2)/2))</f>
        <v>33.075670817082454</v>
      </c>
      <c r="Q2" s="20">
        <f t="shared" ref="Q2:Q16" si="2">N2/G2</f>
        <v>0.46912778319079068</v>
      </c>
      <c r="R2" s="20">
        <f>(Q2/H2/J2)</f>
        <v>17.261306320950428</v>
      </c>
      <c r="S2" s="20" t="s">
        <v>1</v>
      </c>
      <c r="T2" s="20">
        <f>P2/N2*R2</f>
        <v>0.87835274729935531</v>
      </c>
      <c r="U2" s="20">
        <f>R2/60*1000</f>
        <v>287.68843868250713</v>
      </c>
      <c r="V2" s="20" t="s">
        <v>1</v>
      </c>
      <c r="W2" s="20">
        <f>T2/R2*U2</f>
        <v>14.639212454989254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1385.55</v>
      </c>
      <c r="H3" s="21">
        <f>H2</f>
        <v>1.2699999999999998</v>
      </c>
      <c r="I3" s="21">
        <v>0</v>
      </c>
      <c r="J3" s="21">
        <v>0.26</v>
      </c>
      <c r="K3" s="21">
        <v>211</v>
      </c>
      <c r="L3" s="21">
        <v>180</v>
      </c>
      <c r="M3" s="21">
        <v>185</v>
      </c>
      <c r="N3" s="21">
        <f t="shared" si="0"/>
        <v>28.5</v>
      </c>
      <c r="O3" s="21" t="s">
        <v>1</v>
      </c>
      <c r="P3" s="21">
        <f t="shared" si="1"/>
        <v>19.836834424877374</v>
      </c>
      <c r="Q3" s="21">
        <f t="shared" si="2"/>
        <v>2.0569448955288516E-2</v>
      </c>
      <c r="R3" s="21">
        <f>Q3/H3/J3</f>
        <v>6.2293909616258386E-2</v>
      </c>
      <c r="S3" s="21" t="s">
        <v>1</v>
      </c>
      <c r="T3" s="21">
        <f>P3/N3*R3</f>
        <v>4.3358384938105052E-2</v>
      </c>
      <c r="U3" s="21">
        <f>R3/60*1000</f>
        <v>1.0382318269376398</v>
      </c>
      <c r="V3" s="21" t="s">
        <v>1</v>
      </c>
      <c r="W3" s="21">
        <f>T3/R3*U3</f>
        <v>0.72263974896841765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1385.55</v>
      </c>
      <c r="H4" s="19">
        <f>H2</f>
        <v>1.2699999999999998</v>
      </c>
      <c r="I4" s="19"/>
      <c r="J4" s="19">
        <v>8.1000000000000003E-2</v>
      </c>
      <c r="K4" s="19">
        <v>1689</v>
      </c>
      <c r="L4" s="19">
        <v>59</v>
      </c>
      <c r="M4" s="19">
        <v>46</v>
      </c>
      <c r="N4" s="19">
        <f t="shared" si="0"/>
        <v>1636.5</v>
      </c>
      <c r="O4" s="19" t="s">
        <v>1</v>
      </c>
      <c r="P4" s="19">
        <f t="shared" si="1"/>
        <v>41.731283229730664</v>
      </c>
      <c r="Q4" s="19">
        <f t="shared" si="2"/>
        <v>1.1811194110641983</v>
      </c>
      <c r="R4" s="19">
        <f>(Q4/H4/J4)</f>
        <v>11.481670176574301</v>
      </c>
      <c r="S4" s="19" t="s">
        <v>1</v>
      </c>
      <c r="T4" s="19">
        <f t="shared" ref="T4:T6" si="3">P4/N4*R4</f>
        <v>0.29278633063793086</v>
      </c>
      <c r="U4" s="19">
        <f t="shared" ref="U4:U6" si="4">R4/60*1000</f>
        <v>191.3611696095717</v>
      </c>
      <c r="V4" s="19" t="s">
        <v>1</v>
      </c>
      <c r="W4" s="19">
        <f t="shared" ref="W4:W6" si="5">T4/R4*U4</f>
        <v>4.8797721772988485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1385.55</v>
      </c>
      <c r="H5" s="19">
        <f>H2</f>
        <v>1.2699999999999998</v>
      </c>
      <c r="I5" s="19">
        <v>2E-3</v>
      </c>
      <c r="J5" s="19">
        <v>0.13700000000000001</v>
      </c>
      <c r="K5" s="19">
        <v>2719</v>
      </c>
      <c r="L5" s="19">
        <v>71</v>
      </c>
      <c r="M5" s="19">
        <v>57</v>
      </c>
      <c r="N5" s="19">
        <f t="shared" si="0"/>
        <v>2655</v>
      </c>
      <c r="O5" s="19" t="s">
        <v>1</v>
      </c>
      <c r="P5" s="19">
        <f t="shared" si="1"/>
        <v>52.754146756439916</v>
      </c>
      <c r="Q5" s="19">
        <f t="shared" si="2"/>
        <v>1.9162065605716143</v>
      </c>
      <c r="R5" s="19">
        <f>(Q5/H5/J5)</f>
        <v>11.013314331695009</v>
      </c>
      <c r="S5" s="19" t="s">
        <v>1</v>
      </c>
      <c r="T5" s="19">
        <f t="shared" si="3"/>
        <v>0.21883163861734142</v>
      </c>
      <c r="U5" s="19">
        <f t="shared" si="4"/>
        <v>183.55523886158349</v>
      </c>
      <c r="V5" s="19" t="s">
        <v>1</v>
      </c>
      <c r="W5" s="19">
        <f t="shared" si="5"/>
        <v>3.6471939769556907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1385.55</v>
      </c>
      <c r="H6" s="19">
        <f>H2</f>
        <v>1.2699999999999998</v>
      </c>
      <c r="I6" s="19">
        <v>2E-3</v>
      </c>
      <c r="J6" s="19">
        <v>4.5999999999999999E-2</v>
      </c>
      <c r="K6" s="19">
        <v>933</v>
      </c>
      <c r="L6" s="19">
        <v>46</v>
      </c>
      <c r="M6" s="19">
        <v>47</v>
      </c>
      <c r="N6" s="19">
        <f t="shared" si="0"/>
        <v>886.5</v>
      </c>
      <c r="O6" s="19" t="s">
        <v>1</v>
      </c>
      <c r="P6" s="19">
        <f t="shared" si="1"/>
        <v>31.296964709057651</v>
      </c>
      <c r="Q6" s="19">
        <f t="shared" si="2"/>
        <v>0.63981812276713224</v>
      </c>
      <c r="R6" s="19">
        <f>(Q6/H6/J6)</f>
        <v>10.95203907509641</v>
      </c>
      <c r="S6" s="19" t="s">
        <v>1</v>
      </c>
      <c r="T6" s="19">
        <f t="shared" si="3"/>
        <v>0.38665040093120445</v>
      </c>
      <c r="U6" s="19">
        <f t="shared" si="4"/>
        <v>182.53398458494016</v>
      </c>
      <c r="V6" s="19" t="s">
        <v>1</v>
      </c>
      <c r="W6" s="19">
        <f t="shared" si="5"/>
        <v>6.4441733488534076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1385.55</v>
      </c>
      <c r="H7" s="23">
        <f>H2</f>
        <v>1.2699999999999998</v>
      </c>
      <c r="I7" s="23">
        <v>1E-3</v>
      </c>
      <c r="J7" s="23">
        <v>0.247</v>
      </c>
      <c r="K7" s="23">
        <v>326</v>
      </c>
      <c r="L7" s="23">
        <v>55</v>
      </c>
      <c r="M7" s="23">
        <v>55</v>
      </c>
      <c r="N7" s="23">
        <f t="shared" si="0"/>
        <v>271</v>
      </c>
      <c r="O7" s="23" t="s">
        <v>1</v>
      </c>
      <c r="P7" s="23">
        <f t="shared" si="1"/>
        <v>19.519221295943137</v>
      </c>
      <c r="Q7" s="23">
        <f t="shared" si="2"/>
        <v>0.19559019883800657</v>
      </c>
      <c r="R7" s="23">
        <f>Q7/H7/J7</f>
        <v>0.62351429385063795</v>
      </c>
      <c r="S7" s="23" t="s">
        <v>1</v>
      </c>
      <c r="T7" s="23">
        <f>P7/N7*R7</f>
        <v>4.4909643848170921E-2</v>
      </c>
      <c r="U7" s="23">
        <f>R7/60*1000</f>
        <v>10.391904897510631</v>
      </c>
      <c r="V7" s="23" t="s">
        <v>1</v>
      </c>
      <c r="W7" s="23">
        <f>T7/R7*U7</f>
        <v>0.74849406413618191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1385.55</v>
      </c>
      <c r="H8" s="25">
        <f>H2</f>
        <v>1.2699999999999998</v>
      </c>
      <c r="I8" s="25">
        <v>4.0000000000000001E-3</v>
      </c>
      <c r="J8" s="25">
        <v>1.55E-2</v>
      </c>
      <c r="K8" s="25">
        <v>1363</v>
      </c>
      <c r="L8" s="25">
        <v>23</v>
      </c>
      <c r="M8" s="25">
        <v>22</v>
      </c>
      <c r="N8" s="25">
        <f t="shared" si="0"/>
        <v>1340.5</v>
      </c>
      <c r="O8" s="25" t="s">
        <v>1</v>
      </c>
      <c r="P8" s="25">
        <f t="shared" si="1"/>
        <v>37.222305140869501</v>
      </c>
      <c r="Q8" s="25">
        <f t="shared" si="2"/>
        <v>0.9674858359496229</v>
      </c>
      <c r="R8" s="25">
        <f>Q8/H8/J8</f>
        <v>49.148378762998377</v>
      </c>
      <c r="S8" s="25" t="s">
        <v>1</v>
      </c>
      <c r="T8" s="25">
        <f>P8/N8*R8</f>
        <v>1.3647265583702768</v>
      </c>
      <c r="U8" s="25">
        <f>R8/60*1000</f>
        <v>819.13964604997295</v>
      </c>
      <c r="V8" s="25" t="s">
        <v>1</v>
      </c>
      <c r="W8" s="25">
        <f>T8/R8*U8</f>
        <v>22.745442639504613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1385.55</v>
      </c>
      <c r="H9" s="30">
        <f>H2</f>
        <v>1.2699999999999998</v>
      </c>
      <c r="J9" s="30">
        <v>0.19</v>
      </c>
      <c r="K9" s="30">
        <v>1741</v>
      </c>
      <c r="L9" s="30">
        <v>109</v>
      </c>
      <c r="M9" s="30">
        <v>94</v>
      </c>
      <c r="N9" s="30">
        <f t="shared" si="0"/>
        <v>1639.5</v>
      </c>
      <c r="P9" s="30">
        <f t="shared" si="1"/>
        <v>42.924352062669506</v>
      </c>
      <c r="Q9" s="30">
        <f t="shared" si="2"/>
        <v>1.1832846162173867</v>
      </c>
      <c r="R9" s="30">
        <f t="shared" ref="R9:R13" si="6">Q9/H9/J9</f>
        <v>4.9037903697363729</v>
      </c>
      <c r="S9" s="30" t="s">
        <v>1</v>
      </c>
      <c r="T9" s="30">
        <f t="shared" ref="T9:T16" si="7">P9/N9*R9</f>
        <v>0.1283879379518709</v>
      </c>
      <c r="U9" s="30">
        <f t="shared" ref="U9:U16" si="8">R9/60*1000</f>
        <v>81.729839495606228</v>
      </c>
      <c r="V9" s="30" t="s">
        <v>1</v>
      </c>
      <c r="W9" s="30">
        <f t="shared" ref="W9:W16" si="9">T9/R9*U9</f>
        <v>2.1397989658645153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1385.55</v>
      </c>
      <c r="H10" s="30">
        <f>H2</f>
        <v>1.2699999999999998</v>
      </c>
      <c r="J10" s="30">
        <v>2.5000000000000001E-2</v>
      </c>
      <c r="K10" s="30">
        <v>261</v>
      </c>
      <c r="L10" s="30">
        <v>38</v>
      </c>
      <c r="M10" s="30">
        <v>49</v>
      </c>
      <c r="N10" s="30">
        <f t="shared" si="0"/>
        <v>217.5</v>
      </c>
      <c r="P10" s="30">
        <f t="shared" si="1"/>
        <v>17.449928366615147</v>
      </c>
      <c r="Q10" s="30">
        <f t="shared" si="2"/>
        <v>0.15697737360614919</v>
      </c>
      <c r="R10" s="30">
        <f t="shared" si="6"/>
        <v>4.9441692474377703</v>
      </c>
      <c r="S10" s="30" t="s">
        <v>1</v>
      </c>
      <c r="T10" s="30">
        <f t="shared" si="7"/>
        <v>0.39666850206993381</v>
      </c>
      <c r="U10" s="30">
        <f t="shared" si="8"/>
        <v>82.402820790629505</v>
      </c>
      <c r="V10" s="30" t="s">
        <v>1</v>
      </c>
      <c r="W10" s="30">
        <f t="shared" si="9"/>
        <v>6.6111417011655638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1385.55</v>
      </c>
      <c r="H11" s="32">
        <f>H2</f>
        <v>1.2699999999999998</v>
      </c>
      <c r="J11" s="32">
        <v>3.1E-2</v>
      </c>
      <c r="K11" s="32">
        <v>280</v>
      </c>
      <c r="L11" s="32">
        <v>53</v>
      </c>
      <c r="M11" s="32">
        <v>52</v>
      </c>
      <c r="N11" s="32">
        <f t="shared" si="0"/>
        <v>227.5</v>
      </c>
      <c r="P11" s="32">
        <f t="shared" si="1"/>
        <v>18.234582528810471</v>
      </c>
      <c r="Q11" s="32">
        <f t="shared" si="2"/>
        <v>0.16419472411677674</v>
      </c>
      <c r="R11" s="32">
        <f t="shared" si="6"/>
        <v>4.1705543336747972</v>
      </c>
      <c r="S11" s="32" t="s">
        <v>1</v>
      </c>
      <c r="T11" s="32">
        <f t="shared" si="7"/>
        <v>0.33427831731112634</v>
      </c>
      <c r="U11" s="32">
        <f t="shared" si="8"/>
        <v>69.509238894579951</v>
      </c>
      <c r="V11" s="32" t="s">
        <v>1</v>
      </c>
      <c r="W11" s="32">
        <f t="shared" si="9"/>
        <v>5.5713052885187722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1385.55</v>
      </c>
      <c r="H12" s="32">
        <f>H2</f>
        <v>1.2699999999999998</v>
      </c>
      <c r="J12" s="32">
        <v>0.03</v>
      </c>
      <c r="K12" s="32">
        <v>315</v>
      </c>
      <c r="L12" s="32">
        <v>48</v>
      </c>
      <c r="M12" s="32">
        <v>40</v>
      </c>
      <c r="N12" s="32">
        <f t="shared" si="0"/>
        <v>271</v>
      </c>
      <c r="P12" s="32">
        <f t="shared" si="1"/>
        <v>18.947295321496416</v>
      </c>
      <c r="Q12" s="32">
        <f t="shared" si="2"/>
        <v>0.19559019883800657</v>
      </c>
      <c r="R12" s="32">
        <f t="shared" si="6"/>
        <v>5.1336010193702526</v>
      </c>
      <c r="S12" s="32" t="s">
        <v>1</v>
      </c>
      <c r="T12" s="32">
        <f t="shared" si="7"/>
        <v>0.35892197260790853</v>
      </c>
      <c r="U12" s="32">
        <f t="shared" si="8"/>
        <v>85.560016989504206</v>
      </c>
      <c r="V12" s="32" t="s">
        <v>1</v>
      </c>
      <c r="W12" s="32">
        <f t="shared" si="9"/>
        <v>5.982032876798475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1385.55</v>
      </c>
      <c r="H13" s="32">
        <f>H2</f>
        <v>1.2699999999999998</v>
      </c>
      <c r="J13" s="32">
        <v>1.7999999999999999E-2</v>
      </c>
      <c r="K13" s="32">
        <v>193</v>
      </c>
      <c r="L13" s="32">
        <v>39</v>
      </c>
      <c r="M13" s="32">
        <v>38</v>
      </c>
      <c r="N13" s="32">
        <f t="shared" si="0"/>
        <v>154.5</v>
      </c>
      <c r="P13" s="32">
        <f t="shared" si="1"/>
        <v>15.215124054702938</v>
      </c>
      <c r="Q13" s="32">
        <f t="shared" si="2"/>
        <v>0.11150806538919562</v>
      </c>
      <c r="R13" s="32">
        <f t="shared" si="6"/>
        <v>4.8778681272614017</v>
      </c>
      <c r="S13" s="32" t="s">
        <v>1</v>
      </c>
      <c r="T13" s="32">
        <f t="shared" si="7"/>
        <v>0.48037131830915036</v>
      </c>
      <c r="U13" s="32">
        <f t="shared" si="8"/>
        <v>81.297802121023366</v>
      </c>
      <c r="V13" s="32" t="s">
        <v>1</v>
      </c>
      <c r="W13" s="32">
        <f t="shared" si="9"/>
        <v>8.0061886384858401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1385.55</v>
      </c>
      <c r="H14" s="22">
        <f>H2</f>
        <v>1.2699999999999998</v>
      </c>
      <c r="I14" s="22">
        <v>5.0000000000000001E-3</v>
      </c>
      <c r="J14" s="22">
        <f>J4+J5+J6</f>
        <v>0.26400000000000001</v>
      </c>
      <c r="K14" s="22">
        <f>K4+K5+K6</f>
        <v>5341</v>
      </c>
      <c r="L14" s="22">
        <f>L4+L5+L6</f>
        <v>176</v>
      </c>
      <c r="M14" s="22">
        <f>M4+M5+M6</f>
        <v>150</v>
      </c>
      <c r="N14" s="22">
        <f>N4+N5+N6</f>
        <v>5178</v>
      </c>
      <c r="O14" s="22" t="s">
        <v>1</v>
      </c>
      <c r="P14" s="22">
        <f>SQRT((K14+(L14+M14)/2))</f>
        <v>74.188947963965632</v>
      </c>
      <c r="Q14" s="22">
        <f>N14/G14</f>
        <v>3.7371440944029448</v>
      </c>
      <c r="R14" s="22">
        <f>(Q14/H14/J14)</f>
        <v>11.146337671208974</v>
      </c>
      <c r="S14" s="22" t="s">
        <v>1</v>
      </c>
      <c r="T14" s="22">
        <f>P14/N14*R14</f>
        <v>0.15970163489341685</v>
      </c>
      <c r="U14" s="22">
        <f>R14/60*1000</f>
        <v>185.77229452014956</v>
      </c>
      <c r="V14" s="22" t="s">
        <v>1</v>
      </c>
      <c r="W14" s="22">
        <f>T14/R14*U14</f>
        <v>2.6616939148902805</v>
      </c>
      <c r="X14" s="22"/>
    </row>
    <row r="15" spans="1:25" s="31" customFormat="1" x14ac:dyDescent="0.25">
      <c r="B15" s="31" t="s">
        <v>44</v>
      </c>
      <c r="G15" s="31">
        <f>G14</f>
        <v>1385.55</v>
      </c>
      <c r="H15" s="31">
        <f>H14</f>
        <v>1.2699999999999998</v>
      </c>
      <c r="I15" s="31">
        <v>5.0000000000000001E-3</v>
      </c>
      <c r="J15" s="31">
        <f>J9+J10</f>
        <v>0.215</v>
      </c>
      <c r="K15" s="31">
        <f>K9+K10</f>
        <v>2002</v>
      </c>
      <c r="L15" s="31">
        <f>L9+L10</f>
        <v>147</v>
      </c>
      <c r="M15" s="31">
        <f>M9+M10</f>
        <v>143</v>
      </c>
      <c r="N15" s="31">
        <f>N9+N10</f>
        <v>1857</v>
      </c>
      <c r="O15" s="31" t="s">
        <v>1</v>
      </c>
      <c r="P15" s="31">
        <f>SQRT((K15+(L15+M15)/2))</f>
        <v>46.335731352812381</v>
      </c>
      <c r="Q15" s="31">
        <f>N15/G15</f>
        <v>1.3402619898235357</v>
      </c>
      <c r="R15" s="31">
        <f>(Q15/H15/J15)</f>
        <v>4.908485588073745</v>
      </c>
      <c r="S15" s="31" t="s">
        <v>1</v>
      </c>
      <c r="T15" s="31">
        <f>P15/N15*R15</f>
        <v>0.12247618177605619</v>
      </c>
      <c r="U15" s="31">
        <f>R15/60*1000</f>
        <v>81.808093134562412</v>
      </c>
      <c r="V15" s="31" t="s">
        <v>1</v>
      </c>
      <c r="W15" s="31">
        <f>T15/R15*U15</f>
        <v>2.0412696962676029</v>
      </c>
      <c r="X15" s="31">
        <v>3225</v>
      </c>
    </row>
    <row r="16" spans="1:25" s="33" customFormat="1" x14ac:dyDescent="0.25">
      <c r="B16" s="33" t="s">
        <v>46</v>
      </c>
      <c r="G16" s="33">
        <f>G10</f>
        <v>1385.55</v>
      </c>
      <c r="H16" s="33">
        <f>H10</f>
        <v>1.2699999999999998</v>
      </c>
      <c r="I16" s="33">
        <v>5.0000000000000001E-3</v>
      </c>
      <c r="J16" s="33">
        <f>J11+J12+J13</f>
        <v>7.9000000000000001E-2</v>
      </c>
      <c r="K16" s="33">
        <f>K11+K12+K13</f>
        <v>788</v>
      </c>
      <c r="L16" s="33">
        <f>L11+L12+L13</f>
        <v>140</v>
      </c>
      <c r="M16" s="33">
        <f t="shared" ref="M16" si="10">M11+M12+M13</f>
        <v>130</v>
      </c>
      <c r="N16" s="33">
        <f>N11+N12+N13</f>
        <v>653</v>
      </c>
      <c r="O16" s="33" t="s">
        <v>1</v>
      </c>
      <c r="P16" s="33">
        <f t="shared" si="1"/>
        <v>30.380915061926625</v>
      </c>
      <c r="Q16" s="33">
        <f t="shared" si="2"/>
        <v>0.47129298834397892</v>
      </c>
      <c r="R16" s="33">
        <f>(Q16/H16/J16)</f>
        <v>4.6974283698193862</v>
      </c>
      <c r="S16" s="33" t="s">
        <v>1</v>
      </c>
      <c r="T16" s="33">
        <f t="shared" si="7"/>
        <v>0.21854850277636637</v>
      </c>
      <c r="U16" s="33">
        <f t="shared" si="8"/>
        <v>78.290472830323097</v>
      </c>
      <c r="V16" s="33" t="s">
        <v>1</v>
      </c>
      <c r="W16" s="33">
        <f t="shared" si="9"/>
        <v>3.6424750462727724</v>
      </c>
      <c r="X16" s="33">
        <v>3225</v>
      </c>
    </row>
    <row r="18" spans="1:7" x14ac:dyDescent="0.25">
      <c r="A18" t="s">
        <v>140</v>
      </c>
      <c r="B18" t="s">
        <v>141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>
        <v>872</v>
      </c>
      <c r="D21">
        <v>203</v>
      </c>
      <c r="E21">
        <v>241</v>
      </c>
      <c r="F21">
        <v>672</v>
      </c>
      <c r="G21">
        <v>29.53</v>
      </c>
    </row>
    <row r="22" spans="1:7" x14ac:dyDescent="0.25">
      <c r="A22" t="s">
        <v>62</v>
      </c>
      <c r="B22" t="s">
        <v>125</v>
      </c>
      <c r="C22">
        <v>211</v>
      </c>
      <c r="D22">
        <v>180</v>
      </c>
      <c r="E22">
        <v>185</v>
      </c>
      <c r="F22">
        <v>48</v>
      </c>
      <c r="G22">
        <v>14.53</v>
      </c>
    </row>
    <row r="23" spans="1:7" x14ac:dyDescent="0.25">
      <c r="A23" t="s">
        <v>64</v>
      </c>
      <c r="B23" t="s">
        <v>65</v>
      </c>
      <c r="C23" t="s">
        <v>142</v>
      </c>
      <c r="D23">
        <v>59</v>
      </c>
      <c r="E23">
        <v>46</v>
      </c>
      <c r="F23" t="s">
        <v>143</v>
      </c>
      <c r="G23">
        <v>41.1</v>
      </c>
    </row>
    <row r="24" spans="1:7" x14ac:dyDescent="0.25">
      <c r="A24" t="s">
        <v>64</v>
      </c>
      <c r="B24" t="s">
        <v>68</v>
      </c>
      <c r="C24" t="s">
        <v>144</v>
      </c>
      <c r="D24">
        <v>71</v>
      </c>
      <c r="E24">
        <v>57</v>
      </c>
      <c r="F24" t="s">
        <v>145</v>
      </c>
      <c r="G24">
        <v>52.14</v>
      </c>
    </row>
    <row r="25" spans="1:7" x14ac:dyDescent="0.25">
      <c r="A25" t="s">
        <v>71</v>
      </c>
      <c r="B25" t="s">
        <v>72</v>
      </c>
      <c r="C25">
        <v>933</v>
      </c>
      <c r="D25">
        <v>46</v>
      </c>
      <c r="E25">
        <v>47</v>
      </c>
      <c r="F25">
        <v>889</v>
      </c>
      <c r="G25">
        <v>30.55</v>
      </c>
    </row>
    <row r="26" spans="1:7" x14ac:dyDescent="0.25">
      <c r="A26" t="s">
        <v>73</v>
      </c>
      <c r="B26" t="s">
        <v>74</v>
      </c>
      <c r="C26">
        <v>326</v>
      </c>
      <c r="D26">
        <v>55</v>
      </c>
      <c r="E26">
        <v>55</v>
      </c>
      <c r="F26">
        <v>273</v>
      </c>
      <c r="G26">
        <v>18.059999999999999</v>
      </c>
    </row>
    <row r="27" spans="1:7" x14ac:dyDescent="0.25">
      <c r="A27" t="s">
        <v>77</v>
      </c>
      <c r="B27" t="s">
        <v>78</v>
      </c>
      <c r="C27" t="s">
        <v>146</v>
      </c>
      <c r="D27">
        <v>23</v>
      </c>
      <c r="E27">
        <v>22</v>
      </c>
      <c r="F27" t="s">
        <v>147</v>
      </c>
      <c r="G27">
        <v>36.92</v>
      </c>
    </row>
    <row r="28" spans="1:7" x14ac:dyDescent="0.25">
      <c r="A28" t="s">
        <v>71</v>
      </c>
      <c r="B28" t="s">
        <v>81</v>
      </c>
      <c r="C28">
        <v>174</v>
      </c>
      <c r="D28">
        <v>35</v>
      </c>
      <c r="E28">
        <v>42</v>
      </c>
      <c r="F28">
        <v>137</v>
      </c>
      <c r="G28">
        <v>13.19</v>
      </c>
    </row>
    <row r="29" spans="1:7" x14ac:dyDescent="0.25">
      <c r="A29" t="s">
        <v>82</v>
      </c>
      <c r="B29" t="s">
        <v>83</v>
      </c>
      <c r="C29">
        <v>7</v>
      </c>
      <c r="D29">
        <v>31</v>
      </c>
      <c r="E29">
        <v>15</v>
      </c>
      <c r="F29">
        <v>-15</v>
      </c>
      <c r="G29">
        <v>2.65</v>
      </c>
    </row>
    <row r="30" spans="1:7" x14ac:dyDescent="0.25">
      <c r="A30" t="s">
        <v>84</v>
      </c>
      <c r="B30" t="s">
        <v>85</v>
      </c>
      <c r="C30" t="s">
        <v>148</v>
      </c>
      <c r="D30">
        <v>281</v>
      </c>
      <c r="E30">
        <v>270</v>
      </c>
      <c r="F30" t="s">
        <v>149</v>
      </c>
      <c r="G30">
        <v>49.05</v>
      </c>
    </row>
    <row r="31" spans="1:7" x14ac:dyDescent="0.25">
      <c r="A31" t="s">
        <v>88</v>
      </c>
      <c r="B31" t="s">
        <v>89</v>
      </c>
      <c r="C31" t="s">
        <v>150</v>
      </c>
      <c r="D31">
        <v>115</v>
      </c>
      <c r="E31">
        <v>92</v>
      </c>
      <c r="F31" t="s">
        <v>151</v>
      </c>
      <c r="G31">
        <v>45.32</v>
      </c>
    </row>
    <row r="32" spans="1:7" x14ac:dyDescent="0.25">
      <c r="A32" t="s">
        <v>92</v>
      </c>
      <c r="B32" t="s">
        <v>93</v>
      </c>
      <c r="C32" t="s">
        <v>152</v>
      </c>
      <c r="D32">
        <v>109</v>
      </c>
      <c r="E32">
        <v>94</v>
      </c>
      <c r="F32" t="s">
        <v>153</v>
      </c>
      <c r="G32">
        <v>41.73</v>
      </c>
    </row>
    <row r="33" spans="1:7" x14ac:dyDescent="0.25">
      <c r="A33" t="s">
        <v>96</v>
      </c>
      <c r="B33" t="s">
        <v>97</v>
      </c>
      <c r="C33">
        <v>261</v>
      </c>
      <c r="D33">
        <v>38</v>
      </c>
      <c r="E33">
        <v>49</v>
      </c>
      <c r="F33">
        <v>220</v>
      </c>
      <c r="G33">
        <v>16.16</v>
      </c>
    </row>
    <row r="34" spans="1:7" x14ac:dyDescent="0.25">
      <c r="A34" t="s">
        <v>82</v>
      </c>
      <c r="B34" t="s">
        <v>98</v>
      </c>
      <c r="C34">
        <v>280</v>
      </c>
      <c r="D34">
        <v>53</v>
      </c>
      <c r="E34">
        <v>52</v>
      </c>
      <c r="F34">
        <v>232</v>
      </c>
      <c r="G34">
        <v>16.73</v>
      </c>
    </row>
    <row r="35" spans="1:7" x14ac:dyDescent="0.25">
      <c r="A35" t="s">
        <v>82</v>
      </c>
      <c r="B35" t="s">
        <v>99</v>
      </c>
      <c r="C35">
        <v>315</v>
      </c>
      <c r="D35">
        <v>48</v>
      </c>
      <c r="E35">
        <v>40</v>
      </c>
      <c r="F35">
        <v>273</v>
      </c>
      <c r="G35">
        <v>17.75</v>
      </c>
    </row>
    <row r="36" spans="1:7" x14ac:dyDescent="0.25">
      <c r="A36" t="s">
        <v>82</v>
      </c>
      <c r="B36" t="s">
        <v>100</v>
      </c>
      <c r="C36">
        <v>193</v>
      </c>
      <c r="D36">
        <v>39</v>
      </c>
      <c r="E36">
        <v>38</v>
      </c>
      <c r="F36">
        <v>156</v>
      </c>
      <c r="G36">
        <v>13.89</v>
      </c>
    </row>
    <row r="37" spans="1:7" x14ac:dyDescent="0.25">
      <c r="A37" t="s">
        <v>101</v>
      </c>
      <c r="B37" t="s">
        <v>102</v>
      </c>
      <c r="C37">
        <v>484</v>
      </c>
      <c r="D37">
        <v>130</v>
      </c>
      <c r="E37">
        <v>117</v>
      </c>
      <c r="F37">
        <v>339</v>
      </c>
      <c r="G37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37"/>
  <sheetViews>
    <sheetView tabSelected="1" workbookViewId="0">
      <selection activeCell="K10" sqref="K10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>
        <f>171268/60</f>
        <v>2854.4666666666667</v>
      </c>
      <c r="H2" s="20">
        <f>3.2-1.8</f>
        <v>1.4000000000000001</v>
      </c>
      <c r="I2" s="20">
        <v>0</v>
      </c>
      <c r="J2" s="20">
        <v>2.1399999999999999E-2</v>
      </c>
      <c r="K2" s="20">
        <v>1852</v>
      </c>
      <c r="L2" s="20">
        <v>455</v>
      </c>
      <c r="M2" s="20">
        <v>526</v>
      </c>
      <c r="N2" s="20">
        <f t="shared" ref="N2:N13" si="0">K2-(L2+M2)/2</f>
        <v>1361.5</v>
      </c>
      <c r="O2" s="20" t="s">
        <v>1</v>
      </c>
      <c r="P2" s="20">
        <f t="shared" ref="P2:P16" si="1">SQRT((K2+(L2+M2)/2))</f>
        <v>48.399380161320245</v>
      </c>
      <c r="Q2" s="20">
        <f t="shared" ref="Q2:Q16" si="2">N2/G2</f>
        <v>0.47697176355186022</v>
      </c>
      <c r="R2" s="20">
        <f>(Q2/H2/J2)</f>
        <v>15.920285832839124</v>
      </c>
      <c r="S2" s="20" t="s">
        <v>1</v>
      </c>
      <c r="T2" s="20">
        <f>P2/N2*R2</f>
        <v>0.56594341997830455</v>
      </c>
      <c r="U2" s="20">
        <f>R2/60*1000</f>
        <v>265.33809721398541</v>
      </c>
      <c r="V2" s="20" t="s">
        <v>1</v>
      </c>
      <c r="W2" s="20">
        <f>T2/R2*U2</f>
        <v>9.4323903329717425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2854.4666666666667</v>
      </c>
      <c r="H3" s="21">
        <f>H2</f>
        <v>1.4000000000000001</v>
      </c>
      <c r="I3" s="21">
        <v>0</v>
      </c>
      <c r="J3" s="21">
        <v>0.26</v>
      </c>
      <c r="K3" s="21">
        <v>471</v>
      </c>
      <c r="L3" s="21">
        <v>442</v>
      </c>
      <c r="M3" s="21">
        <v>452</v>
      </c>
      <c r="N3" s="21">
        <f t="shared" si="0"/>
        <v>24</v>
      </c>
      <c r="O3" s="21" t="s">
        <v>1</v>
      </c>
      <c r="P3" s="21">
        <f t="shared" si="1"/>
        <v>30.298514815086232</v>
      </c>
      <c r="Q3" s="21">
        <f t="shared" si="2"/>
        <v>8.4078753766027511E-3</v>
      </c>
      <c r="R3" s="21">
        <f>Q3/H3/J3</f>
        <v>2.3098558726930632E-2</v>
      </c>
      <c r="S3" s="21" t="s">
        <v>1</v>
      </c>
      <c r="T3" s="21">
        <f>P3/N3*R3</f>
        <v>2.9160500991460298E-2</v>
      </c>
      <c r="U3" s="21">
        <f>R3/60*1000</f>
        <v>0.38497597878217721</v>
      </c>
      <c r="V3" s="21" t="s">
        <v>1</v>
      </c>
      <c r="W3" s="21">
        <f>T3/R3*U3</f>
        <v>0.48600834985767161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2854.4666666666667</v>
      </c>
      <c r="H4" s="19">
        <f>H2</f>
        <v>1.4000000000000001</v>
      </c>
      <c r="I4" s="19"/>
      <c r="J4" s="19">
        <v>8.1000000000000003E-2</v>
      </c>
      <c r="K4" s="19">
        <v>3638</v>
      </c>
      <c r="L4" s="19">
        <v>127</v>
      </c>
      <c r="M4" s="19">
        <v>127</v>
      </c>
      <c r="N4" s="19">
        <f t="shared" si="0"/>
        <v>3511</v>
      </c>
      <c r="O4" s="19" t="s">
        <v>1</v>
      </c>
      <c r="P4" s="19">
        <f t="shared" si="1"/>
        <v>61.35959582656978</v>
      </c>
      <c r="Q4" s="19">
        <f t="shared" si="2"/>
        <v>1.2300021019688441</v>
      </c>
      <c r="R4" s="19">
        <f>(Q4/H4/J4)</f>
        <v>10.846579382441305</v>
      </c>
      <c r="S4" s="19" t="s">
        <v>1</v>
      </c>
      <c r="T4" s="19">
        <f t="shared" ref="T4:T6" si="3">P4/N4*R4</f>
        <v>0.18955902221800153</v>
      </c>
      <c r="U4" s="19">
        <f t="shared" ref="U4:U6" si="4">R4/60*1000</f>
        <v>180.77632304068842</v>
      </c>
      <c r="V4" s="19" t="s">
        <v>1</v>
      </c>
      <c r="W4" s="19">
        <f t="shared" ref="W4:W6" si="5">T4/R4*U4</f>
        <v>3.1593170369666921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2854.4666666666667</v>
      </c>
      <c r="H5" s="19">
        <f>H2</f>
        <v>1.4000000000000001</v>
      </c>
      <c r="I5" s="19">
        <v>2E-3</v>
      </c>
      <c r="J5" s="19">
        <v>0.13700000000000001</v>
      </c>
      <c r="K5" s="19">
        <v>5992</v>
      </c>
      <c r="L5" s="19">
        <v>145</v>
      </c>
      <c r="M5" s="19">
        <v>109</v>
      </c>
      <c r="N5" s="19">
        <f t="shared" si="0"/>
        <v>5865</v>
      </c>
      <c r="O5" s="19" t="s">
        <v>1</v>
      </c>
      <c r="P5" s="19">
        <f t="shared" si="1"/>
        <v>78.224037226417821</v>
      </c>
      <c r="Q5" s="19">
        <f t="shared" si="2"/>
        <v>2.0546745451572974</v>
      </c>
      <c r="R5" s="19">
        <f>(Q5/H5/J5)</f>
        <v>10.712588869433249</v>
      </c>
      <c r="S5" s="19" t="s">
        <v>1</v>
      </c>
      <c r="T5" s="19">
        <f t="shared" si="3"/>
        <v>0.14287842293501374</v>
      </c>
      <c r="U5" s="19">
        <f t="shared" si="4"/>
        <v>178.54314782388749</v>
      </c>
      <c r="V5" s="19" t="s">
        <v>1</v>
      </c>
      <c r="W5" s="19">
        <f t="shared" si="5"/>
        <v>2.3813070489168955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2854.4666666666667</v>
      </c>
      <c r="H6" s="19">
        <f>H2</f>
        <v>1.4000000000000001</v>
      </c>
      <c r="I6" s="19">
        <v>2E-3</v>
      </c>
      <c r="J6" s="19">
        <v>4.5999999999999999E-2</v>
      </c>
      <c r="K6" s="19">
        <v>2092</v>
      </c>
      <c r="L6" s="19">
        <v>94</v>
      </c>
      <c r="M6" s="19">
        <v>113</v>
      </c>
      <c r="N6" s="19">
        <f t="shared" si="0"/>
        <v>1988.5</v>
      </c>
      <c r="O6" s="19" t="s">
        <v>1</v>
      </c>
      <c r="P6" s="19">
        <f t="shared" si="1"/>
        <v>46.856162881738406</v>
      </c>
      <c r="Q6" s="19">
        <f t="shared" si="2"/>
        <v>0.69662750776560711</v>
      </c>
      <c r="R6" s="19">
        <f>(Q6/H6/J6)</f>
        <v>10.817197325552904</v>
      </c>
      <c r="S6" s="19" t="s">
        <v>1</v>
      </c>
      <c r="T6" s="19">
        <f t="shared" si="3"/>
        <v>0.25489180779985515</v>
      </c>
      <c r="U6" s="19">
        <f t="shared" si="4"/>
        <v>180.28662209254838</v>
      </c>
      <c r="V6" s="19" t="s">
        <v>1</v>
      </c>
      <c r="W6" s="19">
        <f t="shared" si="5"/>
        <v>4.248196796664252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2854.4666666666667</v>
      </c>
      <c r="H7" s="23">
        <f>H2</f>
        <v>1.4000000000000001</v>
      </c>
      <c r="I7" s="23">
        <v>1E-3</v>
      </c>
      <c r="J7" s="23">
        <v>0.247</v>
      </c>
      <c r="K7" s="23">
        <v>515</v>
      </c>
      <c r="L7" s="23">
        <v>114</v>
      </c>
      <c r="M7" s="23">
        <v>92</v>
      </c>
      <c r="N7" s="23">
        <f t="shared" si="0"/>
        <v>412</v>
      </c>
      <c r="O7" s="23" t="s">
        <v>1</v>
      </c>
      <c r="P7" s="23">
        <f t="shared" si="1"/>
        <v>24.859605789312106</v>
      </c>
      <c r="Q7" s="23">
        <f t="shared" si="2"/>
        <v>0.1443351939650139</v>
      </c>
      <c r="R7" s="23">
        <f>Q7/H7/J7</f>
        <v>0.41739500857436057</v>
      </c>
      <c r="S7" s="23" t="s">
        <v>1</v>
      </c>
      <c r="T7" s="23">
        <f>P7/N7*R7</f>
        <v>2.5185134397051334E-2</v>
      </c>
      <c r="U7" s="23">
        <f>R7/60*1000</f>
        <v>6.9565834762393424</v>
      </c>
      <c r="V7" s="23" t="s">
        <v>1</v>
      </c>
      <c r="W7" s="23">
        <f>T7/R7*U7</f>
        <v>0.41975223995085559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2854.4666666666667</v>
      </c>
      <c r="H8" s="25">
        <f>H2</f>
        <v>1.4000000000000001</v>
      </c>
      <c r="I8" s="25">
        <v>4.0000000000000001E-3</v>
      </c>
      <c r="J8" s="25">
        <v>1.55E-2</v>
      </c>
      <c r="K8" s="25">
        <v>3066</v>
      </c>
      <c r="L8" s="25">
        <v>52</v>
      </c>
      <c r="M8" s="25">
        <v>55</v>
      </c>
      <c r="N8" s="25">
        <f t="shared" si="0"/>
        <v>3012.5</v>
      </c>
      <c r="O8" s="25" t="s">
        <v>1</v>
      </c>
      <c r="P8" s="25">
        <f t="shared" si="1"/>
        <v>55.852484277783027</v>
      </c>
      <c r="Q8" s="25">
        <f t="shared" si="2"/>
        <v>1.0553635238339911</v>
      </c>
      <c r="R8" s="25">
        <f>Q8/H8/J8</f>
        <v>48.634263771151659</v>
      </c>
      <c r="S8" s="25" t="s">
        <v>1</v>
      </c>
      <c r="T8" s="25">
        <f>P8/N8*R8</f>
        <v>0.90169110461072211</v>
      </c>
      <c r="U8" s="25">
        <f>R8/60*1000</f>
        <v>810.57106285252769</v>
      </c>
      <c r="V8" s="25" t="s">
        <v>1</v>
      </c>
      <c r="W8" s="25">
        <f>T8/R8*U8</f>
        <v>15.02818507684537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2854.4666666666667</v>
      </c>
      <c r="H9" s="30">
        <f>H2</f>
        <v>1.4000000000000001</v>
      </c>
      <c r="J9" s="30">
        <v>0.19</v>
      </c>
      <c r="K9" s="30">
        <v>4001</v>
      </c>
      <c r="L9" s="30">
        <v>259</v>
      </c>
      <c r="M9" s="30">
        <v>217</v>
      </c>
      <c r="N9" s="30">
        <f t="shared" si="0"/>
        <v>3763</v>
      </c>
      <c r="P9" s="30">
        <f t="shared" si="1"/>
        <v>65.107603242632109</v>
      </c>
      <c r="Q9" s="30">
        <f t="shared" si="2"/>
        <v>1.318284793423173</v>
      </c>
      <c r="R9" s="30">
        <f t="shared" ref="R9:R13" si="6">Q9/H9/J9</f>
        <v>4.955957870011928</v>
      </c>
      <c r="S9" s="30" t="s">
        <v>1</v>
      </c>
      <c r="T9" s="30">
        <f t="shared" ref="T9:T16" si="7">P9/N9*R9</f>
        <v>8.574821649958457E-2</v>
      </c>
      <c r="U9" s="30">
        <f t="shared" ref="U9:U16" si="8">R9/60*1000</f>
        <v>82.599297833532134</v>
      </c>
      <c r="V9" s="30" t="s">
        <v>1</v>
      </c>
      <c r="W9" s="30">
        <f t="shared" ref="W9:W16" si="9">T9/R9*U9</f>
        <v>1.4291369416597428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2854.4666666666667</v>
      </c>
      <c r="H10" s="30">
        <f>H2</f>
        <v>1.4000000000000001</v>
      </c>
      <c r="J10" s="30">
        <v>2.5000000000000001E-2</v>
      </c>
      <c r="K10" s="30">
        <v>600</v>
      </c>
      <c r="L10" s="30">
        <v>89</v>
      </c>
      <c r="M10" s="30">
        <v>93</v>
      </c>
      <c r="N10" s="30">
        <f t="shared" si="0"/>
        <v>509</v>
      </c>
      <c r="P10" s="30">
        <f t="shared" si="1"/>
        <v>26.28687885618983</v>
      </c>
      <c r="Q10" s="30">
        <f t="shared" si="2"/>
        <v>0.17831702361211668</v>
      </c>
      <c r="R10" s="30">
        <f t="shared" si="6"/>
        <v>5.0947721032033328</v>
      </c>
      <c r="S10" s="30" t="s">
        <v>1</v>
      </c>
      <c r="T10" s="30">
        <f t="shared" si="7"/>
        <v>0.26311523983654517</v>
      </c>
      <c r="U10" s="30">
        <f t="shared" si="8"/>
        <v>84.912868386722209</v>
      </c>
      <c r="V10" s="30" t="s">
        <v>1</v>
      </c>
      <c r="W10" s="30">
        <f t="shared" si="9"/>
        <v>4.3852539972757523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2854.4666666666667</v>
      </c>
      <c r="H11" s="32">
        <f>H2</f>
        <v>1.4000000000000001</v>
      </c>
      <c r="J11" s="32">
        <v>3.1E-2</v>
      </c>
      <c r="K11" s="32">
        <v>691</v>
      </c>
      <c r="L11" s="32">
        <v>134</v>
      </c>
      <c r="M11" s="32">
        <v>143</v>
      </c>
      <c r="N11" s="32">
        <f t="shared" si="0"/>
        <v>552.5</v>
      </c>
      <c r="P11" s="32">
        <f t="shared" si="1"/>
        <v>28.801041647829337</v>
      </c>
      <c r="Q11" s="32">
        <f t="shared" si="2"/>
        <v>0.19355629773220917</v>
      </c>
      <c r="R11" s="32">
        <f t="shared" si="6"/>
        <v>4.459822528391916</v>
      </c>
      <c r="S11" s="32" t="s">
        <v>1</v>
      </c>
      <c r="T11" s="32">
        <f t="shared" si="7"/>
        <v>0.23248422512605088</v>
      </c>
      <c r="U11" s="32">
        <f t="shared" si="8"/>
        <v>74.3303754731986</v>
      </c>
      <c r="V11" s="32" t="s">
        <v>1</v>
      </c>
      <c r="W11" s="32">
        <f t="shared" si="9"/>
        <v>3.8747370854341812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2854.4666666666667</v>
      </c>
      <c r="H12" s="32">
        <f>H2</f>
        <v>1.4000000000000001</v>
      </c>
      <c r="J12" s="32">
        <v>0.03</v>
      </c>
      <c r="K12" s="32">
        <v>688</v>
      </c>
      <c r="L12" s="32">
        <v>96</v>
      </c>
      <c r="M12" s="32">
        <v>88</v>
      </c>
      <c r="N12" s="32">
        <f t="shared" si="0"/>
        <v>596</v>
      </c>
      <c r="P12" s="32">
        <f t="shared" si="1"/>
        <v>27.928480087537881</v>
      </c>
      <c r="Q12" s="32">
        <f t="shared" si="2"/>
        <v>0.20879557185230166</v>
      </c>
      <c r="R12" s="32">
        <f t="shared" si="6"/>
        <v>4.9713231393405151</v>
      </c>
      <c r="S12" s="32" t="s">
        <v>1</v>
      </c>
      <c r="T12" s="32">
        <f t="shared" si="7"/>
        <v>0.23295553574796626</v>
      </c>
      <c r="U12" s="32">
        <f t="shared" si="8"/>
        <v>82.855385655675249</v>
      </c>
      <c r="V12" s="32" t="s">
        <v>1</v>
      </c>
      <c r="W12" s="32">
        <f t="shared" si="9"/>
        <v>3.8825922624661042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2854.4666666666667</v>
      </c>
      <c r="H13" s="32">
        <f>H2</f>
        <v>1.4000000000000001</v>
      </c>
      <c r="J13" s="32">
        <v>1.7999999999999999E-2</v>
      </c>
      <c r="K13" s="32">
        <v>445</v>
      </c>
      <c r="L13" s="32">
        <v>81</v>
      </c>
      <c r="M13" s="32">
        <v>79</v>
      </c>
      <c r="N13" s="32">
        <f t="shared" si="0"/>
        <v>365</v>
      </c>
      <c r="P13" s="32">
        <f t="shared" si="1"/>
        <v>22.912878474779198</v>
      </c>
      <c r="Q13" s="32">
        <f t="shared" si="2"/>
        <v>0.12786977135250016</v>
      </c>
      <c r="R13" s="32">
        <f t="shared" si="6"/>
        <v>5.0741972758928631</v>
      </c>
      <c r="S13" s="32" t="s">
        <v>1</v>
      </c>
      <c r="T13" s="32">
        <f t="shared" si="7"/>
        <v>0.3185327823002434</v>
      </c>
      <c r="U13" s="32">
        <f t="shared" si="8"/>
        <v>84.56995459821438</v>
      </c>
      <c r="V13" s="32" t="s">
        <v>1</v>
      </c>
      <c r="W13" s="32">
        <f t="shared" si="9"/>
        <v>5.3088797050040561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2854.4666666666667</v>
      </c>
      <c r="H14" s="22">
        <f>H2</f>
        <v>1.4000000000000001</v>
      </c>
      <c r="I14" s="22">
        <v>5.0000000000000001E-3</v>
      </c>
      <c r="J14" s="22">
        <f>J4+J5+J6</f>
        <v>0.26400000000000001</v>
      </c>
      <c r="K14" s="22">
        <f>K4+K5+K6</f>
        <v>11722</v>
      </c>
      <c r="L14" s="22">
        <f>L4+L5+L6</f>
        <v>366</v>
      </c>
      <c r="M14" s="22">
        <f>M4+M5+M6</f>
        <v>349</v>
      </c>
      <c r="N14" s="22">
        <f>N4+N5+N6</f>
        <v>11364.5</v>
      </c>
      <c r="O14" s="22" t="s">
        <v>1</v>
      </c>
      <c r="P14" s="22">
        <f>SQRT((K14+(L14+M14)/2))</f>
        <v>109.90677868084389</v>
      </c>
      <c r="Q14" s="22">
        <f>N14/G14</f>
        <v>3.9813041548917485</v>
      </c>
      <c r="R14" s="22">
        <f>(Q14/H14/J14)</f>
        <v>10.771926826005812</v>
      </c>
      <c r="S14" s="22" t="s">
        <v>1</v>
      </c>
      <c r="T14" s="22">
        <f>P14/N14*R14</f>
        <v>0.10417596705812539</v>
      </c>
      <c r="U14" s="22">
        <f>R14/60*1000</f>
        <v>179.53211376676353</v>
      </c>
      <c r="V14" s="22" t="s">
        <v>1</v>
      </c>
      <c r="W14" s="22">
        <f>T14/R14*U14</f>
        <v>1.736266117635423</v>
      </c>
      <c r="X14" s="22"/>
    </row>
    <row r="15" spans="1:25" s="31" customFormat="1" x14ac:dyDescent="0.25">
      <c r="B15" s="31" t="s">
        <v>44</v>
      </c>
      <c r="G15" s="31">
        <f>G14</f>
        <v>2854.4666666666667</v>
      </c>
      <c r="H15" s="31">
        <f>H14</f>
        <v>1.4000000000000001</v>
      </c>
      <c r="I15" s="31">
        <v>5.0000000000000001E-3</v>
      </c>
      <c r="J15" s="31">
        <f>J9+J10</f>
        <v>0.215</v>
      </c>
      <c r="K15" s="31">
        <f>K9+K10</f>
        <v>4601</v>
      </c>
      <c r="L15" s="31">
        <f>L9+L10</f>
        <v>348</v>
      </c>
      <c r="M15" s="31">
        <f>M9+M10</f>
        <v>310</v>
      </c>
      <c r="N15" s="31">
        <f>N9+N10</f>
        <v>4272</v>
      </c>
      <c r="O15" s="31" t="s">
        <v>1</v>
      </c>
      <c r="P15" s="31">
        <f>SQRT((K15+(L15+M15)/2))</f>
        <v>70.213958726167832</v>
      </c>
      <c r="Q15" s="31">
        <f>N15/G15</f>
        <v>1.4966018170352897</v>
      </c>
      <c r="R15" s="31">
        <f>(Q15/H15/J15)</f>
        <v>4.9720990599179062</v>
      </c>
      <c r="S15" s="31" t="s">
        <v>1</v>
      </c>
      <c r="T15" s="31">
        <f>P15/N15*R15</f>
        <v>8.1720683093514448E-2</v>
      </c>
      <c r="U15" s="31">
        <f>R15/60*1000</f>
        <v>82.868317665298434</v>
      </c>
      <c r="V15" s="31" t="s">
        <v>1</v>
      </c>
      <c r="W15" s="31">
        <f>T15/R15*U15</f>
        <v>1.3620113848919075</v>
      </c>
      <c r="X15" s="31">
        <v>3225</v>
      </c>
    </row>
    <row r="16" spans="1:25" s="33" customFormat="1" x14ac:dyDescent="0.25">
      <c r="B16" s="33" t="s">
        <v>46</v>
      </c>
      <c r="G16" s="33">
        <f>G10</f>
        <v>2854.4666666666667</v>
      </c>
      <c r="H16" s="33">
        <f>H10</f>
        <v>1.4000000000000001</v>
      </c>
      <c r="I16" s="33">
        <v>5.0000000000000001E-3</v>
      </c>
      <c r="J16" s="33">
        <f>J11+J12+J13</f>
        <v>7.9000000000000001E-2</v>
      </c>
      <c r="K16" s="33">
        <f>K11+K12+K13</f>
        <v>1824</v>
      </c>
      <c r="L16" s="33">
        <f>L11+L12+L13</f>
        <v>311</v>
      </c>
      <c r="M16" s="33">
        <f t="shared" ref="M16" si="10">M11+M12+M13</f>
        <v>310</v>
      </c>
      <c r="N16" s="33">
        <f>N11+N12+N13</f>
        <v>1513.5</v>
      </c>
      <c r="O16" s="33" t="s">
        <v>1</v>
      </c>
      <c r="P16" s="33">
        <f t="shared" si="1"/>
        <v>46.200649346086038</v>
      </c>
      <c r="Q16" s="33">
        <f t="shared" si="2"/>
        <v>0.53022164093701096</v>
      </c>
      <c r="R16" s="33">
        <f>(Q16/H16/J16)</f>
        <v>4.794047386410587</v>
      </c>
      <c r="S16" s="33" t="s">
        <v>1</v>
      </c>
      <c r="T16" s="33">
        <f t="shared" si="7"/>
        <v>0.1463416598930134</v>
      </c>
      <c r="U16" s="33">
        <f t="shared" si="8"/>
        <v>79.900789773509786</v>
      </c>
      <c r="V16" s="33" t="s">
        <v>1</v>
      </c>
      <c r="W16" s="33">
        <f t="shared" si="9"/>
        <v>2.4390276648835565</v>
      </c>
      <c r="X16" s="33">
        <v>3225</v>
      </c>
    </row>
    <row r="18" spans="1:7" x14ac:dyDescent="0.25">
      <c r="A18" t="s">
        <v>205</v>
      </c>
      <c r="B18" t="s">
        <v>206</v>
      </c>
    </row>
    <row r="20" spans="1:7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</row>
    <row r="21" spans="1:7" x14ac:dyDescent="0.25">
      <c r="A21" t="s">
        <v>58</v>
      </c>
      <c r="B21" t="s">
        <v>59</v>
      </c>
      <c r="C21" t="s">
        <v>207</v>
      </c>
      <c r="D21">
        <v>455</v>
      </c>
      <c r="E21">
        <v>526</v>
      </c>
      <c r="F21" t="s">
        <v>208</v>
      </c>
      <c r="G21">
        <v>43.03</v>
      </c>
    </row>
    <row r="22" spans="1:7" x14ac:dyDescent="0.25">
      <c r="A22" t="s">
        <v>62</v>
      </c>
      <c r="B22" t="s">
        <v>190</v>
      </c>
      <c r="C22">
        <v>471</v>
      </c>
      <c r="D22">
        <v>442</v>
      </c>
      <c r="E22">
        <v>452</v>
      </c>
      <c r="F22">
        <v>73</v>
      </c>
      <c r="G22">
        <v>21.7</v>
      </c>
    </row>
    <row r="23" spans="1:7" x14ac:dyDescent="0.25">
      <c r="A23" t="s">
        <v>64</v>
      </c>
      <c r="B23" t="s">
        <v>65</v>
      </c>
      <c r="C23" t="s">
        <v>209</v>
      </c>
      <c r="D23">
        <v>127</v>
      </c>
      <c r="E23">
        <v>127</v>
      </c>
      <c r="F23" t="s">
        <v>210</v>
      </c>
      <c r="G23">
        <v>60.32</v>
      </c>
    </row>
    <row r="24" spans="1:7" x14ac:dyDescent="0.25">
      <c r="A24" t="s">
        <v>64</v>
      </c>
      <c r="B24" t="s">
        <v>68</v>
      </c>
      <c r="C24" t="s">
        <v>211</v>
      </c>
      <c r="D24">
        <v>145</v>
      </c>
      <c r="E24">
        <v>109</v>
      </c>
      <c r="F24" t="s">
        <v>212</v>
      </c>
      <c r="G24">
        <v>77.41</v>
      </c>
    </row>
    <row r="25" spans="1:7" x14ac:dyDescent="0.25">
      <c r="A25" t="s">
        <v>71</v>
      </c>
      <c r="B25" t="s">
        <v>72</v>
      </c>
      <c r="C25" t="s">
        <v>213</v>
      </c>
      <c r="D25">
        <v>94</v>
      </c>
      <c r="E25">
        <v>113</v>
      </c>
      <c r="F25" t="s">
        <v>214</v>
      </c>
      <c r="G25">
        <v>45.74</v>
      </c>
    </row>
    <row r="26" spans="1:7" x14ac:dyDescent="0.25">
      <c r="A26" t="s">
        <v>73</v>
      </c>
      <c r="B26" t="s">
        <v>74</v>
      </c>
      <c r="C26">
        <v>515</v>
      </c>
      <c r="D26">
        <v>114</v>
      </c>
      <c r="E26">
        <v>92</v>
      </c>
      <c r="F26">
        <v>417</v>
      </c>
      <c r="G26">
        <v>22.69</v>
      </c>
    </row>
    <row r="27" spans="1:7" x14ac:dyDescent="0.25">
      <c r="A27" t="s">
        <v>77</v>
      </c>
      <c r="B27" t="s">
        <v>78</v>
      </c>
      <c r="C27" t="s">
        <v>215</v>
      </c>
      <c r="D27">
        <v>52</v>
      </c>
      <c r="E27">
        <v>55</v>
      </c>
      <c r="F27" t="s">
        <v>216</v>
      </c>
      <c r="G27">
        <v>55.37</v>
      </c>
    </row>
    <row r="28" spans="1:7" x14ac:dyDescent="0.25">
      <c r="A28" t="s">
        <v>71</v>
      </c>
      <c r="B28" t="s">
        <v>81</v>
      </c>
      <c r="C28">
        <v>375</v>
      </c>
      <c r="D28">
        <v>90</v>
      </c>
      <c r="E28">
        <v>76</v>
      </c>
      <c r="F28">
        <v>295</v>
      </c>
      <c r="G28">
        <v>19.36</v>
      </c>
    </row>
    <row r="29" spans="1:7" x14ac:dyDescent="0.25">
      <c r="A29" t="s">
        <v>82</v>
      </c>
      <c r="B29" t="s">
        <v>83</v>
      </c>
      <c r="C29">
        <v>24</v>
      </c>
      <c r="D29">
        <v>47</v>
      </c>
      <c r="E29">
        <v>19</v>
      </c>
      <c r="F29">
        <v>-7</v>
      </c>
      <c r="G29">
        <v>4.9000000000000004</v>
      </c>
    </row>
    <row r="30" spans="1:7" x14ac:dyDescent="0.25">
      <c r="A30" t="s">
        <v>84</v>
      </c>
      <c r="B30" t="s">
        <v>85</v>
      </c>
      <c r="C30" t="s">
        <v>217</v>
      </c>
      <c r="D30">
        <v>570</v>
      </c>
      <c r="E30">
        <v>572</v>
      </c>
      <c r="F30" t="s">
        <v>218</v>
      </c>
      <c r="G30">
        <v>73.81</v>
      </c>
    </row>
    <row r="31" spans="1:7" x14ac:dyDescent="0.25">
      <c r="A31" t="s">
        <v>88</v>
      </c>
      <c r="B31" t="s">
        <v>89</v>
      </c>
      <c r="C31" t="s">
        <v>219</v>
      </c>
      <c r="D31">
        <v>255</v>
      </c>
      <c r="E31">
        <v>214</v>
      </c>
      <c r="F31" t="s">
        <v>220</v>
      </c>
      <c r="G31">
        <v>68.3</v>
      </c>
    </row>
    <row r="32" spans="1:7" x14ac:dyDescent="0.25">
      <c r="A32" t="s">
        <v>92</v>
      </c>
      <c r="B32" t="s">
        <v>93</v>
      </c>
      <c r="C32" t="s">
        <v>221</v>
      </c>
      <c r="D32">
        <v>259</v>
      </c>
      <c r="E32">
        <v>217</v>
      </c>
      <c r="F32" t="s">
        <v>222</v>
      </c>
      <c r="G32">
        <v>63.25</v>
      </c>
    </row>
    <row r="33" spans="1:7" x14ac:dyDescent="0.25">
      <c r="A33" t="s">
        <v>96</v>
      </c>
      <c r="B33" t="s">
        <v>97</v>
      </c>
      <c r="C33">
        <v>600</v>
      </c>
      <c r="D33">
        <v>89</v>
      </c>
      <c r="E33">
        <v>93</v>
      </c>
      <c r="F33">
        <v>514</v>
      </c>
      <c r="G33">
        <v>24.49</v>
      </c>
    </row>
    <row r="34" spans="1:7" x14ac:dyDescent="0.25">
      <c r="A34" t="s">
        <v>82</v>
      </c>
      <c r="B34" t="s">
        <v>98</v>
      </c>
      <c r="C34">
        <v>691</v>
      </c>
      <c r="D34">
        <v>134</v>
      </c>
      <c r="E34">
        <v>143</v>
      </c>
      <c r="F34">
        <v>565</v>
      </c>
      <c r="G34">
        <v>26.29</v>
      </c>
    </row>
    <row r="35" spans="1:7" x14ac:dyDescent="0.25">
      <c r="A35" t="s">
        <v>82</v>
      </c>
      <c r="B35" t="s">
        <v>99</v>
      </c>
      <c r="C35">
        <v>688</v>
      </c>
      <c r="D35">
        <v>96</v>
      </c>
      <c r="E35">
        <v>88</v>
      </c>
      <c r="F35">
        <v>600</v>
      </c>
      <c r="G35">
        <v>26.23</v>
      </c>
    </row>
    <row r="36" spans="1:7" x14ac:dyDescent="0.25">
      <c r="A36" t="s">
        <v>82</v>
      </c>
      <c r="B36" t="s">
        <v>100</v>
      </c>
      <c r="C36">
        <v>445</v>
      </c>
      <c r="D36">
        <v>81</v>
      </c>
      <c r="E36">
        <v>79</v>
      </c>
      <c r="F36">
        <v>369</v>
      </c>
      <c r="G36">
        <v>21.1</v>
      </c>
    </row>
    <row r="37" spans="1:7" x14ac:dyDescent="0.25">
      <c r="A37" t="s">
        <v>101</v>
      </c>
      <c r="B37" t="s">
        <v>102</v>
      </c>
      <c r="C37" t="s">
        <v>223</v>
      </c>
      <c r="D37">
        <v>288</v>
      </c>
      <c r="E37">
        <v>313</v>
      </c>
      <c r="F37">
        <v>768</v>
      </c>
      <c r="G37">
        <v>33.450000000000003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6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16"/>
  <sheetViews>
    <sheetView workbookViewId="0">
      <selection sqref="A1:XFD1048576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16"/>
  <sheetViews>
    <sheetView workbookViewId="0">
      <selection activeCell="M29" sqref="M29"/>
    </sheetView>
  </sheetViews>
  <sheetFormatPr baseColWidth="10" defaultRowHeight="15" x14ac:dyDescent="0.25"/>
  <cols>
    <col min="1" max="1" width="13.28515625" bestFit="1" customWidth="1"/>
    <col min="5" max="5" width="8.7109375" bestFit="1" customWidth="1"/>
    <col min="6" max="6" width="15.42578125" bestFit="1" customWidth="1"/>
  </cols>
  <sheetData>
    <row r="1" spans="1:25" ht="15.75" x14ac:dyDescent="0.25">
      <c r="A1" s="1" t="s">
        <v>47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24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12</v>
      </c>
      <c r="L1" s="4" t="s">
        <v>11</v>
      </c>
      <c r="M1" s="7" t="s">
        <v>13</v>
      </c>
      <c r="N1" s="8"/>
      <c r="O1" s="4" t="s">
        <v>14</v>
      </c>
      <c r="P1" s="9"/>
      <c r="Q1" s="10" t="s">
        <v>15</v>
      </c>
      <c r="R1" s="11"/>
      <c r="S1" s="12" t="s">
        <v>16</v>
      </c>
      <c r="T1" s="13"/>
      <c r="U1" s="14"/>
      <c r="V1" s="14" t="s">
        <v>17</v>
      </c>
      <c r="W1" s="15"/>
      <c r="X1" s="16" t="s">
        <v>18</v>
      </c>
      <c r="Y1" s="17"/>
    </row>
    <row r="2" spans="1:25" x14ac:dyDescent="0.25">
      <c r="A2" s="20" t="s">
        <v>2</v>
      </c>
      <c r="B2" s="20" t="s">
        <v>0</v>
      </c>
      <c r="C2" s="20">
        <v>46.5</v>
      </c>
      <c r="D2" s="20">
        <v>9</v>
      </c>
      <c r="E2" s="20">
        <v>0.04</v>
      </c>
      <c r="F2" s="20">
        <v>0.53500000000000003</v>
      </c>
      <c r="G2" s="20"/>
      <c r="H2" s="20"/>
      <c r="I2" s="20">
        <v>0</v>
      </c>
      <c r="J2" s="20">
        <v>2.1399999999999999E-2</v>
      </c>
      <c r="K2" s="20"/>
      <c r="L2" s="20"/>
      <c r="M2" s="20"/>
      <c r="N2" s="20">
        <f t="shared" ref="N2:N13" si="0">K2-(L2+M2)/2</f>
        <v>0</v>
      </c>
      <c r="O2" s="20" t="s">
        <v>1</v>
      </c>
      <c r="P2" s="20">
        <f t="shared" ref="P2:P16" si="1">SQRT((K2+(L2+M2)/2))</f>
        <v>0</v>
      </c>
      <c r="Q2" s="20" t="e">
        <f t="shared" ref="Q2:Q16" si="2">N2/G2</f>
        <v>#DIV/0!</v>
      </c>
      <c r="R2" s="20" t="e">
        <f>(Q2/H2/J2)</f>
        <v>#DIV/0!</v>
      </c>
      <c r="S2" s="20" t="s">
        <v>1</v>
      </c>
      <c r="T2" s="20" t="e">
        <f>P2/N2*R2</f>
        <v>#DIV/0!</v>
      </c>
      <c r="U2" s="20" t="e">
        <f>R2/60*1000</f>
        <v>#DIV/0!</v>
      </c>
      <c r="V2" s="20" t="s">
        <v>1</v>
      </c>
      <c r="W2" s="20" t="e">
        <f>T2/R2*U2</f>
        <v>#DIV/0!</v>
      </c>
      <c r="X2" s="20">
        <v>4940</v>
      </c>
    </row>
    <row r="3" spans="1:25" x14ac:dyDescent="0.25">
      <c r="A3" s="21" t="s">
        <v>22</v>
      </c>
      <c r="B3" s="21" t="s">
        <v>26</v>
      </c>
      <c r="C3" s="21">
        <v>59.5</v>
      </c>
      <c r="D3" s="21">
        <v>8</v>
      </c>
      <c r="E3" s="21">
        <v>0.36299999999999999</v>
      </c>
      <c r="F3" s="21">
        <v>0.71625344400000002</v>
      </c>
      <c r="G3" s="21">
        <f>G2</f>
        <v>0</v>
      </c>
      <c r="H3" s="21">
        <f>H2</f>
        <v>0</v>
      </c>
      <c r="I3" s="21">
        <v>0</v>
      </c>
      <c r="J3" s="21">
        <v>0.26</v>
      </c>
      <c r="K3" s="21"/>
      <c r="L3" s="21"/>
      <c r="M3" s="21"/>
      <c r="N3" s="21">
        <f t="shared" si="0"/>
        <v>0</v>
      </c>
      <c r="O3" s="21" t="s">
        <v>1</v>
      </c>
      <c r="P3" s="21">
        <f t="shared" si="1"/>
        <v>0</v>
      </c>
      <c r="Q3" s="21" t="e">
        <f t="shared" si="2"/>
        <v>#DIV/0!</v>
      </c>
      <c r="R3" s="21" t="e">
        <f>Q3/H3/J3</f>
        <v>#DIV/0!</v>
      </c>
      <c r="S3" s="21" t="s">
        <v>1</v>
      </c>
      <c r="T3" s="21" t="e">
        <f>P3/N3*R3</f>
        <v>#DIV/0!</v>
      </c>
      <c r="U3" s="21" t="e">
        <f>R3/60*1000</f>
        <v>#DIV/0!</v>
      </c>
      <c r="V3" s="21" t="s">
        <v>1</v>
      </c>
      <c r="W3" s="21" t="e">
        <f>T3/R3*U3</f>
        <v>#DIV/0!</v>
      </c>
      <c r="X3" s="21">
        <v>2.15</v>
      </c>
    </row>
    <row r="4" spans="1:25" x14ac:dyDescent="0.25">
      <c r="A4" s="19" t="s">
        <v>19</v>
      </c>
      <c r="B4" s="19" t="s">
        <v>20</v>
      </c>
      <c r="C4" s="19">
        <v>295</v>
      </c>
      <c r="D4" s="19">
        <v>11</v>
      </c>
      <c r="E4" s="19">
        <v>0.192</v>
      </c>
      <c r="F4" s="19">
        <v>0.421875</v>
      </c>
      <c r="G4" s="19">
        <f>G2</f>
        <v>0</v>
      </c>
      <c r="H4" s="19">
        <f>H2</f>
        <v>0</v>
      </c>
      <c r="I4" s="19"/>
      <c r="J4" s="19">
        <v>8.1000000000000003E-2</v>
      </c>
      <c r="K4" s="19"/>
      <c r="L4" s="19"/>
      <c r="M4" s="19"/>
      <c r="N4" s="19">
        <f t="shared" si="0"/>
        <v>0</v>
      </c>
      <c r="O4" s="19" t="s">
        <v>1</v>
      </c>
      <c r="P4" s="19">
        <f t="shared" si="1"/>
        <v>0</v>
      </c>
      <c r="Q4" s="19" t="e">
        <f t="shared" si="2"/>
        <v>#DIV/0!</v>
      </c>
      <c r="R4" s="19" t="e">
        <f>(Q4/H4/J4)</f>
        <v>#DIV/0!</v>
      </c>
      <c r="S4" s="19" t="s">
        <v>1</v>
      </c>
      <c r="T4" s="19" t="e">
        <f t="shared" ref="T4:T6" si="3">P4/N4*R4</f>
        <v>#DIV/0!</v>
      </c>
      <c r="U4" s="19" t="e">
        <f t="shared" ref="U4:U6" si="4">R4/60*1000</f>
        <v>#DIV/0!</v>
      </c>
      <c r="V4" s="19" t="s">
        <v>1</v>
      </c>
      <c r="W4" s="19" t="e">
        <f t="shared" ref="W4:W6" si="5">T4/R4*U4</f>
        <v>#DIV/0!</v>
      </c>
      <c r="X4" s="19">
        <v>4940</v>
      </c>
    </row>
    <row r="5" spans="1:25" x14ac:dyDescent="0.25">
      <c r="A5" s="19" t="s">
        <v>19</v>
      </c>
      <c r="B5" s="19" t="s">
        <v>20</v>
      </c>
      <c r="C5" s="19">
        <v>352</v>
      </c>
      <c r="D5" s="19">
        <v>12</v>
      </c>
      <c r="E5" s="19">
        <v>0.371</v>
      </c>
      <c r="F5" s="19">
        <v>0.36927223719676555</v>
      </c>
      <c r="G5" s="19">
        <f>G2</f>
        <v>0</v>
      </c>
      <c r="H5" s="19">
        <f>H2</f>
        <v>0</v>
      </c>
      <c r="I5" s="19">
        <v>2E-3</v>
      </c>
      <c r="J5" s="19">
        <v>0.13700000000000001</v>
      </c>
      <c r="K5" s="19"/>
      <c r="L5" s="19"/>
      <c r="M5" s="19"/>
      <c r="N5" s="19">
        <f t="shared" si="0"/>
        <v>0</v>
      </c>
      <c r="O5" s="19" t="s">
        <v>1</v>
      </c>
      <c r="P5" s="19">
        <f t="shared" si="1"/>
        <v>0</v>
      </c>
      <c r="Q5" s="19" t="e">
        <f t="shared" si="2"/>
        <v>#DIV/0!</v>
      </c>
      <c r="R5" s="19" t="e">
        <f>(Q5/H5/J5)</f>
        <v>#DIV/0!</v>
      </c>
      <c r="S5" s="19" t="s">
        <v>1</v>
      </c>
      <c r="T5" s="19" t="e">
        <f t="shared" si="3"/>
        <v>#DIV/0!</v>
      </c>
      <c r="U5" s="19" t="e">
        <f t="shared" si="4"/>
        <v>#DIV/0!</v>
      </c>
      <c r="V5" s="19" t="s">
        <v>1</v>
      </c>
      <c r="W5" s="19" t="e">
        <f t="shared" si="5"/>
        <v>#DIV/0!</v>
      </c>
      <c r="X5" s="19">
        <v>4940</v>
      </c>
    </row>
    <row r="6" spans="1:25" x14ac:dyDescent="0.25">
      <c r="A6" s="19" t="s">
        <v>19</v>
      </c>
      <c r="B6" s="19" t="s">
        <v>20</v>
      </c>
      <c r="C6" s="19">
        <v>609</v>
      </c>
      <c r="D6" s="19">
        <v>16</v>
      </c>
      <c r="E6" s="19">
        <v>0.46100000000000002</v>
      </c>
      <c r="F6" s="19">
        <v>9.9783080260303678E-2</v>
      </c>
      <c r="G6" s="19">
        <f>G2</f>
        <v>0</v>
      </c>
      <c r="H6" s="19">
        <f>H2</f>
        <v>0</v>
      </c>
      <c r="I6" s="19">
        <v>2E-3</v>
      </c>
      <c r="J6" s="19">
        <v>4.5999999999999999E-2</v>
      </c>
      <c r="K6" s="19"/>
      <c r="L6" s="19"/>
      <c r="M6" s="19"/>
      <c r="N6" s="19">
        <f t="shared" si="0"/>
        <v>0</v>
      </c>
      <c r="O6" s="19" t="s">
        <v>1</v>
      </c>
      <c r="P6" s="19">
        <f t="shared" si="1"/>
        <v>0</v>
      </c>
      <c r="Q6" s="19" t="e">
        <f t="shared" si="2"/>
        <v>#DIV/0!</v>
      </c>
      <c r="R6" s="19" t="e">
        <f>(Q6/H6/J6)</f>
        <v>#DIV/0!</v>
      </c>
      <c r="S6" s="19" t="s">
        <v>1</v>
      </c>
      <c r="T6" s="19" t="e">
        <f t="shared" si="3"/>
        <v>#DIV/0!</v>
      </c>
      <c r="U6" s="19" t="e">
        <f t="shared" si="4"/>
        <v>#DIV/0!</v>
      </c>
      <c r="V6" s="19" t="s">
        <v>1</v>
      </c>
      <c r="W6" s="19" t="e">
        <f t="shared" si="5"/>
        <v>#DIV/0!</v>
      </c>
      <c r="X6" s="19">
        <v>4940</v>
      </c>
    </row>
    <row r="7" spans="1:25" s="24" customFormat="1" x14ac:dyDescent="0.25">
      <c r="A7" s="23" t="s">
        <v>22</v>
      </c>
      <c r="B7" s="23" t="s">
        <v>23</v>
      </c>
      <c r="C7" s="23">
        <v>661</v>
      </c>
      <c r="D7" s="23">
        <v>20</v>
      </c>
      <c r="E7" s="23">
        <v>0.84619999999999995</v>
      </c>
      <c r="F7" s="23">
        <v>0.29189316946348381</v>
      </c>
      <c r="G7" s="23">
        <f>G2</f>
        <v>0</v>
      </c>
      <c r="H7" s="23">
        <f>H2</f>
        <v>0</v>
      </c>
      <c r="I7" s="23">
        <v>1E-3</v>
      </c>
      <c r="J7" s="23">
        <v>0.247</v>
      </c>
      <c r="K7" s="23"/>
      <c r="L7" s="23"/>
      <c r="M7" s="23"/>
      <c r="N7" s="23">
        <f t="shared" si="0"/>
        <v>0</v>
      </c>
      <c r="O7" s="23" t="s">
        <v>1</v>
      </c>
      <c r="P7" s="23">
        <f t="shared" si="1"/>
        <v>0</v>
      </c>
      <c r="Q7" s="23" t="e">
        <f t="shared" si="2"/>
        <v>#DIV/0!</v>
      </c>
      <c r="R7" s="23" t="e">
        <f>Q7/H7/J7</f>
        <v>#DIV/0!</v>
      </c>
      <c r="S7" s="23" t="s">
        <v>1</v>
      </c>
      <c r="T7" s="23" t="e">
        <f>P7/N7*R7</f>
        <v>#DIV/0!</v>
      </c>
      <c r="U7" s="23" t="e">
        <f>R7/60*1000</f>
        <v>#DIV/0!</v>
      </c>
      <c r="V7" s="23" t="s">
        <v>1</v>
      </c>
      <c r="W7" s="23" t="e">
        <f>T7/R7*U7</f>
        <v>#DIV/0!</v>
      </c>
      <c r="X7" s="23">
        <v>335</v>
      </c>
    </row>
    <row r="8" spans="1:25" x14ac:dyDescent="0.25">
      <c r="A8" s="25" t="s">
        <v>2</v>
      </c>
      <c r="B8" s="25" t="s">
        <v>25</v>
      </c>
      <c r="C8" s="25">
        <v>1460</v>
      </c>
      <c r="D8" s="25">
        <v>20</v>
      </c>
      <c r="E8" s="25">
        <v>0.107</v>
      </c>
      <c r="F8" s="25">
        <v>0.14485981308411214</v>
      </c>
      <c r="G8" s="25">
        <f>G2</f>
        <v>0</v>
      </c>
      <c r="H8" s="25">
        <f>H2</f>
        <v>0</v>
      </c>
      <c r="I8" s="25">
        <v>4.0000000000000001E-3</v>
      </c>
      <c r="J8" s="25">
        <v>1.55E-2</v>
      </c>
      <c r="K8" s="25"/>
      <c r="L8" s="25"/>
      <c r="M8" s="25"/>
      <c r="N8" s="25">
        <f t="shared" si="0"/>
        <v>0</v>
      </c>
      <c r="O8" s="25" t="s">
        <v>1</v>
      </c>
      <c r="P8" s="25">
        <f t="shared" si="1"/>
        <v>0</v>
      </c>
      <c r="Q8" s="25" t="e">
        <f t="shared" si="2"/>
        <v>#DIV/0!</v>
      </c>
      <c r="R8" s="25" t="e">
        <f>Q8/H8/J8</f>
        <v>#DIV/0!</v>
      </c>
      <c r="S8" s="25" t="s">
        <v>1</v>
      </c>
      <c r="T8" s="25" t="e">
        <f>P8/N8*R8</f>
        <v>#DIV/0!</v>
      </c>
      <c r="U8" s="25" t="e">
        <f>R8/60*1000</f>
        <v>#DIV/0!</v>
      </c>
      <c r="V8" s="25" t="s">
        <v>1</v>
      </c>
      <c r="W8" s="25" t="e">
        <f>T8/R8*U8</f>
        <v>#DIV/0!</v>
      </c>
      <c r="X8" s="25">
        <v>550</v>
      </c>
    </row>
    <row r="9" spans="1:25" s="30" customFormat="1" x14ac:dyDescent="0.25">
      <c r="A9" s="30" t="s">
        <v>41</v>
      </c>
      <c r="B9" s="30" t="s">
        <v>42</v>
      </c>
      <c r="C9" s="30">
        <v>238</v>
      </c>
      <c r="D9" s="30">
        <v>11</v>
      </c>
      <c r="E9" s="30">
        <v>0.43099999999999999</v>
      </c>
      <c r="G9" s="30">
        <f>G3</f>
        <v>0</v>
      </c>
      <c r="H9" s="30">
        <f>H2</f>
        <v>0</v>
      </c>
      <c r="J9" s="30">
        <v>0.19</v>
      </c>
      <c r="N9" s="30">
        <f t="shared" si="0"/>
        <v>0</v>
      </c>
      <c r="P9" s="30">
        <f t="shared" si="1"/>
        <v>0</v>
      </c>
      <c r="Q9" s="30" t="e">
        <f t="shared" si="2"/>
        <v>#DIV/0!</v>
      </c>
      <c r="R9" s="30" t="e">
        <f t="shared" ref="R9:R13" si="6">Q9/H9/J9</f>
        <v>#DIV/0!</v>
      </c>
      <c r="S9" s="30" t="s">
        <v>1</v>
      </c>
      <c r="T9" s="30" t="e">
        <f t="shared" ref="T9:T16" si="7">P9/N9*R9</f>
        <v>#DIV/0!</v>
      </c>
      <c r="U9" s="30" t="e">
        <f t="shared" ref="U9:U16" si="8">R9/60*1000</f>
        <v>#DIV/0!</v>
      </c>
      <c r="V9" s="30" t="s">
        <v>1</v>
      </c>
      <c r="W9" s="30" t="e">
        <f t="shared" ref="W9:W16" si="9">T9/R9*U9</f>
        <v>#DIV/0!</v>
      </c>
    </row>
    <row r="10" spans="1:25" s="30" customFormat="1" x14ac:dyDescent="0.25">
      <c r="A10" s="30" t="s">
        <v>41</v>
      </c>
      <c r="B10" s="30" t="s">
        <v>43</v>
      </c>
      <c r="C10" s="30">
        <v>583</v>
      </c>
      <c r="D10" s="30">
        <v>13</v>
      </c>
      <c r="G10" s="30">
        <f>G4</f>
        <v>0</v>
      </c>
      <c r="H10" s="30">
        <f>H2</f>
        <v>0</v>
      </c>
      <c r="J10" s="30">
        <v>2.5000000000000001E-2</v>
      </c>
      <c r="N10" s="30">
        <f t="shared" si="0"/>
        <v>0</v>
      </c>
      <c r="P10" s="30">
        <f t="shared" si="1"/>
        <v>0</v>
      </c>
      <c r="Q10" s="30" t="e">
        <f t="shared" si="2"/>
        <v>#DIV/0!</v>
      </c>
      <c r="R10" s="30" t="e">
        <f t="shared" si="6"/>
        <v>#DIV/0!</v>
      </c>
      <c r="S10" s="30" t="s">
        <v>1</v>
      </c>
      <c r="T10" s="30" t="e">
        <f t="shared" si="7"/>
        <v>#DIV/0!</v>
      </c>
      <c r="U10" s="30" t="e">
        <f t="shared" si="8"/>
        <v>#DIV/0!</v>
      </c>
      <c r="V10" s="30" t="s">
        <v>1</v>
      </c>
      <c r="W10" s="30" t="e">
        <f t="shared" si="9"/>
        <v>#DIV/0!</v>
      </c>
    </row>
    <row r="11" spans="1:25" s="32" customFormat="1" x14ac:dyDescent="0.25">
      <c r="A11" s="32" t="s">
        <v>41</v>
      </c>
      <c r="B11" s="32" t="s">
        <v>45</v>
      </c>
      <c r="C11" s="32">
        <v>338</v>
      </c>
      <c r="D11" s="32">
        <v>16</v>
      </c>
      <c r="E11" s="32">
        <v>0.12</v>
      </c>
      <c r="G11" s="32">
        <f>G3</f>
        <v>0</v>
      </c>
      <c r="H11" s="32">
        <f>H2</f>
        <v>0</v>
      </c>
      <c r="J11" s="32">
        <v>3.1E-2</v>
      </c>
      <c r="N11" s="32">
        <f t="shared" si="0"/>
        <v>0</v>
      </c>
      <c r="P11" s="32">
        <f t="shared" si="1"/>
        <v>0</v>
      </c>
      <c r="Q11" s="32" t="e">
        <f t="shared" si="2"/>
        <v>#DIV/0!</v>
      </c>
      <c r="R11" s="32" t="e">
        <f t="shared" si="6"/>
        <v>#DIV/0!</v>
      </c>
      <c r="S11" s="32" t="s">
        <v>1</v>
      </c>
      <c r="T11" s="32" t="e">
        <f t="shared" si="7"/>
        <v>#DIV/0!</v>
      </c>
      <c r="U11" s="32" t="e">
        <f t="shared" si="8"/>
        <v>#DIV/0!</v>
      </c>
      <c r="V11" s="32" t="s">
        <v>1</v>
      </c>
      <c r="W11" s="32" t="e">
        <f t="shared" si="9"/>
        <v>#DIV/0!</v>
      </c>
    </row>
    <row r="12" spans="1:25" s="32" customFormat="1" x14ac:dyDescent="0.25">
      <c r="A12" s="32" t="s">
        <v>41</v>
      </c>
      <c r="B12" s="32" t="s">
        <v>45</v>
      </c>
      <c r="C12" s="32">
        <v>911</v>
      </c>
      <c r="D12" s="32">
        <v>20</v>
      </c>
      <c r="E12" s="32">
        <v>0.28999999999999998</v>
      </c>
      <c r="G12" s="32">
        <f>G2</f>
        <v>0</v>
      </c>
      <c r="H12" s="32">
        <f>H2</f>
        <v>0</v>
      </c>
      <c r="J12" s="32">
        <v>0.03</v>
      </c>
      <c r="N12" s="32">
        <f t="shared" si="0"/>
        <v>0</v>
      </c>
      <c r="P12" s="32">
        <f t="shared" si="1"/>
        <v>0</v>
      </c>
      <c r="Q12" s="32" t="e">
        <f t="shared" si="2"/>
        <v>#DIV/0!</v>
      </c>
      <c r="R12" s="32" t="e">
        <f t="shared" si="6"/>
        <v>#DIV/0!</v>
      </c>
      <c r="S12" s="32" t="s">
        <v>1</v>
      </c>
      <c r="T12" s="32" t="e">
        <f t="shared" si="7"/>
        <v>#DIV/0!</v>
      </c>
      <c r="U12" s="32" t="e">
        <f t="shared" si="8"/>
        <v>#DIV/0!</v>
      </c>
      <c r="V12" s="32" t="s">
        <v>1</v>
      </c>
      <c r="W12" s="32" t="e">
        <f t="shared" si="9"/>
        <v>#DIV/0!</v>
      </c>
    </row>
    <row r="13" spans="1:25" s="32" customFormat="1" x14ac:dyDescent="0.25">
      <c r="A13" s="32" t="s">
        <v>41</v>
      </c>
      <c r="B13" s="32" t="s">
        <v>45</v>
      </c>
      <c r="C13" s="32">
        <v>968</v>
      </c>
      <c r="D13" s="32">
        <v>14</v>
      </c>
      <c r="E13" s="32">
        <v>0.18</v>
      </c>
      <c r="G13" s="32">
        <f>G3</f>
        <v>0</v>
      </c>
      <c r="H13" s="32">
        <f>H2</f>
        <v>0</v>
      </c>
      <c r="J13" s="32">
        <v>1.7999999999999999E-2</v>
      </c>
      <c r="N13" s="32">
        <f t="shared" si="0"/>
        <v>0</v>
      </c>
      <c r="P13" s="32">
        <f t="shared" si="1"/>
        <v>0</v>
      </c>
      <c r="Q13" s="32" t="e">
        <f t="shared" si="2"/>
        <v>#DIV/0!</v>
      </c>
      <c r="R13" s="32" t="e">
        <f t="shared" si="6"/>
        <v>#DIV/0!</v>
      </c>
      <c r="S13" s="32" t="s">
        <v>1</v>
      </c>
      <c r="T13" s="32" t="e">
        <f t="shared" si="7"/>
        <v>#DIV/0!</v>
      </c>
      <c r="U13" s="32" t="e">
        <f t="shared" si="8"/>
        <v>#DIV/0!</v>
      </c>
      <c r="V13" s="32" t="s">
        <v>1</v>
      </c>
      <c r="W13" s="32" t="e">
        <f t="shared" si="9"/>
        <v>#DIV/0!</v>
      </c>
    </row>
    <row r="14" spans="1:25" s="18" customFormat="1" x14ac:dyDescent="0.25">
      <c r="A14" s="22"/>
      <c r="B14" s="22" t="s">
        <v>21</v>
      </c>
      <c r="C14" s="22"/>
      <c r="D14" s="22"/>
      <c r="E14" s="22"/>
      <c r="F14" s="22"/>
      <c r="G14" s="22">
        <f>G2</f>
        <v>0</v>
      </c>
      <c r="H14" s="22">
        <f>H2</f>
        <v>0</v>
      </c>
      <c r="I14" s="22">
        <v>5.0000000000000001E-3</v>
      </c>
      <c r="J14" s="22">
        <f>J4+J5+J6</f>
        <v>0.26400000000000001</v>
      </c>
      <c r="K14" s="22">
        <f>K4+K5+K6</f>
        <v>0</v>
      </c>
      <c r="L14" s="22">
        <f>L4+L5+L6</f>
        <v>0</v>
      </c>
      <c r="M14" s="22">
        <f>M4+M5+M6</f>
        <v>0</v>
      </c>
      <c r="N14" s="22">
        <f>N4+N5+N6</f>
        <v>0</v>
      </c>
      <c r="O14" s="22" t="s">
        <v>1</v>
      </c>
      <c r="P14" s="22">
        <f>SQRT((K14+(L14+M14)/2))</f>
        <v>0</v>
      </c>
      <c r="Q14" s="22" t="e">
        <f>N14/G14</f>
        <v>#DIV/0!</v>
      </c>
      <c r="R14" s="22" t="e">
        <f>(Q14/H14/J14)</f>
        <v>#DIV/0!</v>
      </c>
      <c r="S14" s="22" t="s">
        <v>1</v>
      </c>
      <c r="T14" s="22" t="e">
        <f>P14/N14*R14</f>
        <v>#DIV/0!</v>
      </c>
      <c r="U14" s="22" t="e">
        <f>R14/60*1000</f>
        <v>#DIV/0!</v>
      </c>
      <c r="V14" s="22" t="s">
        <v>1</v>
      </c>
      <c r="W14" s="22" t="e">
        <f>T14/R14*U14</f>
        <v>#DIV/0!</v>
      </c>
      <c r="X14" s="22"/>
    </row>
    <row r="15" spans="1:25" s="31" customFormat="1" x14ac:dyDescent="0.25">
      <c r="B15" s="31" t="s">
        <v>44</v>
      </c>
      <c r="G15" s="31">
        <f>G14</f>
        <v>0</v>
      </c>
      <c r="H15" s="31">
        <f>H14</f>
        <v>0</v>
      </c>
      <c r="I15" s="31">
        <v>5.0000000000000001E-3</v>
      </c>
      <c r="J15" s="31">
        <f>J9+J10</f>
        <v>0.215</v>
      </c>
      <c r="K15" s="31">
        <f>K9+K10</f>
        <v>0</v>
      </c>
      <c r="L15" s="31">
        <f>L9+L10</f>
        <v>0</v>
      </c>
      <c r="M15" s="31">
        <f>M9+M10</f>
        <v>0</v>
      </c>
      <c r="N15" s="31">
        <f>N9+N10</f>
        <v>0</v>
      </c>
      <c r="O15" s="31" t="s">
        <v>1</v>
      </c>
      <c r="P15" s="31">
        <f>SQRT((K15+(L15+M15)/2))</f>
        <v>0</v>
      </c>
      <c r="Q15" s="31" t="e">
        <f>N15/G15</f>
        <v>#DIV/0!</v>
      </c>
      <c r="R15" s="31" t="e">
        <f>(Q15/H15/J15)</f>
        <v>#DIV/0!</v>
      </c>
      <c r="S15" s="31" t="s">
        <v>1</v>
      </c>
      <c r="T15" s="31" t="e">
        <f>P15/N15*R15</f>
        <v>#DIV/0!</v>
      </c>
      <c r="U15" s="31" t="e">
        <f>R15/60*1000</f>
        <v>#DIV/0!</v>
      </c>
      <c r="V15" s="31" t="s">
        <v>1</v>
      </c>
      <c r="W15" s="31" t="e">
        <f>T15/R15*U15</f>
        <v>#DIV/0!</v>
      </c>
      <c r="X15" s="31">
        <v>3225</v>
      </c>
    </row>
    <row r="16" spans="1:25" s="33" customFormat="1" x14ac:dyDescent="0.25">
      <c r="B16" s="33" t="s">
        <v>46</v>
      </c>
      <c r="G16" s="33">
        <f>G10</f>
        <v>0</v>
      </c>
      <c r="H16" s="33">
        <f>H10</f>
        <v>0</v>
      </c>
      <c r="I16" s="33">
        <v>5.0000000000000001E-3</v>
      </c>
      <c r="J16" s="33">
        <f>J11+J12+J13</f>
        <v>7.9000000000000001E-2</v>
      </c>
      <c r="K16" s="33">
        <f>K11+K12+K13</f>
        <v>0</v>
      </c>
      <c r="L16" s="33">
        <f>L11+L12+L13</f>
        <v>0</v>
      </c>
      <c r="M16" s="33">
        <f t="shared" ref="M16" si="10">M11+M12+M13</f>
        <v>0</v>
      </c>
      <c r="N16" s="33">
        <f>N11+N12+N13</f>
        <v>0</v>
      </c>
      <c r="O16" s="33" t="s">
        <v>1</v>
      </c>
      <c r="P16" s="33">
        <f t="shared" si="1"/>
        <v>0</v>
      </c>
      <c r="Q16" s="33" t="e">
        <f t="shared" si="2"/>
        <v>#DIV/0!</v>
      </c>
      <c r="R16" s="33" t="e">
        <f>(Q16/H16/J16)</f>
        <v>#DIV/0!</v>
      </c>
      <c r="S16" s="33" t="s">
        <v>1</v>
      </c>
      <c r="T16" s="33" t="e">
        <f t="shared" si="7"/>
        <v>#DIV/0!</v>
      </c>
      <c r="U16" s="33" t="e">
        <f t="shared" si="8"/>
        <v>#DIV/0!</v>
      </c>
      <c r="V16" s="33" t="s">
        <v>1</v>
      </c>
      <c r="W16" s="33" t="e">
        <f t="shared" si="9"/>
        <v>#DIV/0!</v>
      </c>
      <c r="X16" s="33">
        <v>3225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32"/>
  <sheetViews>
    <sheetView zoomScale="70" zoomScaleNormal="70" workbookViewId="0">
      <selection activeCell="D4" sqref="D4"/>
    </sheetView>
  </sheetViews>
  <sheetFormatPr baseColWidth="10" defaultRowHeight="15" x14ac:dyDescent="0.25"/>
  <cols>
    <col min="21" max="21" width="22.5703125" bestFit="1" customWidth="1"/>
  </cols>
  <sheetData>
    <row r="1" spans="1:21" x14ac:dyDescent="0.25">
      <c r="A1" t="s">
        <v>27</v>
      </c>
      <c r="B1" t="s">
        <v>28</v>
      </c>
      <c r="C1" t="s">
        <v>40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37</v>
      </c>
      <c r="J1" t="s">
        <v>26</v>
      </c>
      <c r="K1" t="s">
        <v>36</v>
      </c>
      <c r="L1" t="s">
        <v>23</v>
      </c>
      <c r="M1" t="s">
        <v>34</v>
      </c>
      <c r="N1" t="s">
        <v>25</v>
      </c>
      <c r="O1" t="s">
        <v>35</v>
      </c>
      <c r="Q1" t="s">
        <v>39</v>
      </c>
      <c r="R1" t="s">
        <v>38</v>
      </c>
      <c r="S1">
        <f>0.031/0.138</f>
        <v>0.22463768115942026</v>
      </c>
      <c r="U1" t="s">
        <v>48</v>
      </c>
    </row>
    <row r="2" spans="1:21" x14ac:dyDescent="0.25">
      <c r="A2">
        <v>1</v>
      </c>
      <c r="B2">
        <v>0</v>
      </c>
      <c r="C2">
        <v>0.5</v>
      </c>
      <c r="D2">
        <f>'1'!$U$2</f>
        <v>1225.37853634871</v>
      </c>
      <c r="E2">
        <f>'1'!$W$2</f>
        <v>27.000979182812699</v>
      </c>
      <c r="F2">
        <f>'1'!$U$14</f>
        <v>183.22100750717703</v>
      </c>
      <c r="G2">
        <f>'1'!$W$14</f>
        <v>2.8142146939130064</v>
      </c>
      <c r="H2">
        <f>D2-F2</f>
        <v>1042.1575288415329</v>
      </c>
      <c r="I2">
        <f>(SQRT((E2*E2)+(G2*G2)))</f>
        <v>27.147240765391253</v>
      </c>
      <c r="J2">
        <f>'1'!$U$3</f>
        <v>2.5041469079974799</v>
      </c>
      <c r="K2">
        <f>'1'!$W$3</f>
        <v>0.83892576975792332</v>
      </c>
      <c r="L2">
        <f>'1'!$U$7</f>
        <v>108.65233053955689</v>
      </c>
      <c r="M2">
        <f>'1'!$W$7</f>
        <v>2.1951299123430932</v>
      </c>
      <c r="N2">
        <f>'1'!$U$8</f>
        <v>755.06629505975934</v>
      </c>
      <c r="O2">
        <f>'1'!$W$8</f>
        <v>23.166992020641935</v>
      </c>
      <c r="Q2">
        <f t="shared" ref="Q2:Q26" si="0">2018-(B2/$S$1)</f>
        <v>2018</v>
      </c>
      <c r="U2" s="35">
        <v>45951</v>
      </c>
    </row>
    <row r="3" spans="1:21" x14ac:dyDescent="0.25">
      <c r="A3">
        <v>2</v>
      </c>
      <c r="B3">
        <f>B2+0.5</f>
        <v>0.5</v>
      </c>
      <c r="C3">
        <v>0.5</v>
      </c>
      <c r="D3">
        <f>'2'!$U$2</f>
        <v>1714.2715843006383</v>
      </c>
      <c r="E3">
        <f>'2'!$W$2</f>
        <v>18.302508170770757</v>
      </c>
      <c r="F3">
        <f>'2'!$U$14</f>
        <v>194.61426529649384</v>
      </c>
      <c r="G3">
        <f>'2'!$W$14</f>
        <v>1.6934634857276973</v>
      </c>
      <c r="H3">
        <f t="shared" ref="H3:H26" si="1">D3-F3</f>
        <v>1519.6573190041445</v>
      </c>
      <c r="I3">
        <f t="shared" ref="I3:I26" si="2">(SQRT((E3*E3)+(G3*G3)))</f>
        <v>18.380686165609358</v>
      </c>
      <c r="J3">
        <f>'2'!$U$3</f>
        <v>3.561129815429859</v>
      </c>
      <c r="K3">
        <f>'2'!$W$3</f>
        <v>0.52048849787924678</v>
      </c>
      <c r="L3">
        <f>'2'!$U$7</f>
        <v>148.87129153225581</v>
      </c>
      <c r="M3">
        <f>'2'!$W$7</f>
        <v>1.4919330745755945</v>
      </c>
      <c r="N3">
        <f>'2'!$U$8</f>
        <v>731.69708014879063</v>
      </c>
      <c r="O3">
        <f>'2'!$W$8</f>
        <v>13.272174127985616</v>
      </c>
      <c r="Q3">
        <f t="shared" si="0"/>
        <v>2015.7741935483871</v>
      </c>
      <c r="U3" s="35">
        <v>45988</v>
      </c>
    </row>
    <row r="4" spans="1:21" x14ac:dyDescent="0.25">
      <c r="A4">
        <v>3</v>
      </c>
      <c r="B4">
        <f t="shared" ref="B4:B17" si="3">B3+0.5</f>
        <v>1</v>
      </c>
      <c r="C4">
        <v>0.5</v>
      </c>
      <c r="D4">
        <f>'3'!$U$2</f>
        <v>1842.2931079660621</v>
      </c>
      <c r="E4">
        <f>'3'!$W$2</f>
        <v>16.041641477741813</v>
      </c>
      <c r="F4">
        <f>'3'!$U$14</f>
        <v>192.70207716872233</v>
      </c>
      <c r="G4">
        <f>'3'!$W$14</f>
        <v>1.4297194723647568</v>
      </c>
      <c r="H4">
        <f t="shared" si="1"/>
        <v>1649.5910307973397</v>
      </c>
      <c r="I4">
        <f t="shared" si="2"/>
        <v>16.105227693828656</v>
      </c>
      <c r="J4">
        <f>'3'!$U$3</f>
        <v>4.3035276035598296</v>
      </c>
      <c r="K4">
        <f>'3'!$W$3</f>
        <v>0.453540112586996</v>
      </c>
      <c r="L4">
        <f>'3'!$U$7</f>
        <v>170.84159119880067</v>
      </c>
      <c r="M4">
        <f>'3'!$W$7</f>
        <v>1.3546108073187328</v>
      </c>
      <c r="N4">
        <f>'3'!$U$8</f>
        <v>715.39509111889618</v>
      </c>
      <c r="O4">
        <f>'3'!$W$8</f>
        <v>11.141779208725238</v>
      </c>
      <c r="Q4">
        <f t="shared" si="0"/>
        <v>2013.5483870967741</v>
      </c>
      <c r="U4" s="35">
        <v>45968</v>
      </c>
    </row>
    <row r="5" spans="1:21" x14ac:dyDescent="0.25">
      <c r="A5">
        <v>4</v>
      </c>
      <c r="B5">
        <f t="shared" si="3"/>
        <v>1.5</v>
      </c>
      <c r="C5">
        <v>0.5</v>
      </c>
      <c r="D5">
        <f>'4'!$U$2</f>
        <v>1999.2887306082159</v>
      </c>
      <c r="E5">
        <f>'4'!$W$2</f>
        <v>34.259121821280878</v>
      </c>
      <c r="F5">
        <f>'4'!$U$14</f>
        <v>192.84796684173423</v>
      </c>
      <c r="G5">
        <f>'4'!$W$14</f>
        <v>2.9482712473706343</v>
      </c>
      <c r="H5">
        <f t="shared" si="1"/>
        <v>1806.4407637664817</v>
      </c>
      <c r="I5">
        <f t="shared" si="2"/>
        <v>34.385748956703502</v>
      </c>
      <c r="J5">
        <f>'4'!$U$3</f>
        <v>4.1438959235086452</v>
      </c>
      <c r="K5">
        <f>'4'!$W$3</f>
        <v>0.93078410209001217</v>
      </c>
      <c r="L5">
        <f>'4'!$U$7</f>
        <v>171.75634880393571</v>
      </c>
      <c r="M5">
        <f>'4'!$W$7</f>
        <v>2.7964003740429235</v>
      </c>
      <c r="N5">
        <f>'4'!$U$8</f>
        <v>722.97989660717076</v>
      </c>
      <c r="O5">
        <f>'4'!$W$8</f>
        <v>23.078344558482929</v>
      </c>
      <c r="Q5">
        <f t="shared" si="0"/>
        <v>2011.3225806451612</v>
      </c>
      <c r="U5" s="35">
        <v>45988</v>
      </c>
    </row>
    <row r="6" spans="1:21" x14ac:dyDescent="0.25">
      <c r="A6">
        <v>5</v>
      </c>
      <c r="B6">
        <f t="shared" si="3"/>
        <v>2</v>
      </c>
      <c r="C6">
        <v>0.5</v>
      </c>
      <c r="D6">
        <f>'5'!$U$2</f>
        <v>1921.0636208042445</v>
      </c>
      <c r="E6">
        <f>'5'!$W$2</f>
        <v>32.953710026873807</v>
      </c>
      <c r="F6">
        <f>'5'!$U$14</f>
        <v>192.37370558956462</v>
      </c>
      <c r="G6">
        <f>'5'!$W$14</f>
        <v>2.8831109325677695</v>
      </c>
      <c r="H6">
        <f t="shared" si="1"/>
        <v>1728.6899152146798</v>
      </c>
      <c r="I6">
        <f t="shared" si="2"/>
        <v>33.07959088599457</v>
      </c>
      <c r="J6">
        <f>'5'!$U$3</f>
        <v>2.6020235271336594</v>
      </c>
      <c r="K6">
        <f>'5'!$W$3</f>
        <v>0.94048371229081074</v>
      </c>
      <c r="L6">
        <f>'5'!$U$7</f>
        <v>166.16430945204422</v>
      </c>
      <c r="M6">
        <f>'5'!$W$7</f>
        <v>2.696758213613911</v>
      </c>
      <c r="N6">
        <f>'5'!$U$8</f>
        <v>695.64275902203997</v>
      </c>
      <c r="O6">
        <f>'5'!$W$8</f>
        <v>22.197255955739699</v>
      </c>
      <c r="Q6">
        <f t="shared" si="0"/>
        <v>2009.0967741935483</v>
      </c>
      <c r="U6" s="35">
        <v>45951</v>
      </c>
    </row>
    <row r="7" spans="1:21" x14ac:dyDescent="0.25">
      <c r="A7">
        <v>6</v>
      </c>
      <c r="B7">
        <f t="shared" si="3"/>
        <v>2.5</v>
      </c>
      <c r="C7">
        <v>0.5</v>
      </c>
      <c r="D7">
        <f>'6'!$U$2</f>
        <v>1674.690366795644</v>
      </c>
      <c r="E7">
        <f>'6'!$W$2</f>
        <v>31.865562401659083</v>
      </c>
      <c r="F7">
        <f>'6'!$U$14</f>
        <v>186.40429797514375</v>
      </c>
      <c r="G7">
        <f>'6'!$W$14</f>
        <v>2.9363522612295458</v>
      </c>
      <c r="H7">
        <f t="shared" si="1"/>
        <v>1488.2860688205003</v>
      </c>
      <c r="I7">
        <f t="shared" si="2"/>
        <v>32.000566116493268</v>
      </c>
      <c r="J7">
        <f>'6'!$U$3</f>
        <v>2.1268937098918874</v>
      </c>
      <c r="K7">
        <f>'6'!$W$3</f>
        <v>0.97650787696705454</v>
      </c>
      <c r="L7">
        <f>'6'!$U$7</f>
        <v>167.79958880805748</v>
      </c>
      <c r="M7">
        <f>'6'!$W$7</f>
        <v>2.7946983895902879</v>
      </c>
      <c r="N7">
        <f>'6'!$U$8</f>
        <v>752.81919165244688</v>
      </c>
      <c r="O7">
        <f>'6'!$W$8</f>
        <v>23.942439930206124</v>
      </c>
      <c r="Q7">
        <f t="shared" si="0"/>
        <v>2006.8709677419354</v>
      </c>
      <c r="U7" s="35">
        <v>45988</v>
      </c>
    </row>
    <row r="8" spans="1:21" x14ac:dyDescent="0.25">
      <c r="A8">
        <v>7</v>
      </c>
      <c r="B8">
        <f t="shared" si="3"/>
        <v>3</v>
      </c>
      <c r="C8">
        <v>0.5</v>
      </c>
      <c r="D8">
        <f>'7'!$U$2</f>
        <v>1069.7987542322596</v>
      </c>
      <c r="E8">
        <f>'7'!$W$2</f>
        <v>26.66765871045563</v>
      </c>
      <c r="F8">
        <f>'7'!$U$14</f>
        <v>173.43707076189659</v>
      </c>
      <c r="G8">
        <f>'7'!$W$14</f>
        <v>2.8760590097502607</v>
      </c>
      <c r="H8">
        <f t="shared" si="1"/>
        <v>896.361683470363</v>
      </c>
      <c r="I8">
        <f t="shared" si="2"/>
        <v>26.822299240089496</v>
      </c>
      <c r="J8">
        <f>'7'!$U$3</f>
        <v>3.586258370304761</v>
      </c>
      <c r="K8">
        <f>'7'!$W$3</f>
        <v>0.936075866260072</v>
      </c>
      <c r="L8">
        <f>'7'!$U$7</f>
        <v>150.2265928639595</v>
      </c>
      <c r="M8">
        <f>'7'!$W$7</f>
        <v>2.6891870569947542</v>
      </c>
      <c r="N8">
        <f>'7'!$U$8</f>
        <v>830.23569853434856</v>
      </c>
      <c r="O8">
        <f>'7'!$W$8</f>
        <v>25.528351577689911</v>
      </c>
      <c r="Q8">
        <f t="shared" si="0"/>
        <v>2004.6451612903227</v>
      </c>
      <c r="U8" s="35">
        <v>45968</v>
      </c>
    </row>
    <row r="9" spans="1:21" s="24" customFormat="1" x14ac:dyDescent="0.25">
      <c r="A9" s="24">
        <v>8</v>
      </c>
      <c r="B9">
        <f t="shared" si="3"/>
        <v>3.5</v>
      </c>
      <c r="C9">
        <v>0.5</v>
      </c>
      <c r="D9" s="24">
        <f>'8'!$U$2</f>
        <v>685.13870183668189</v>
      </c>
      <c r="E9" s="24">
        <f>'8'!$W$2</f>
        <v>20.949863336261355</v>
      </c>
      <c r="F9" s="24">
        <f>'8'!$U$14</f>
        <v>189.25137420310756</v>
      </c>
      <c r="G9" s="24">
        <f>'8'!$W$14</f>
        <v>2.8281186744194078</v>
      </c>
      <c r="H9" s="24">
        <f t="shared" si="1"/>
        <v>495.88732763357433</v>
      </c>
      <c r="I9" s="24">
        <f t="shared" si="2"/>
        <v>21.139891888196296</v>
      </c>
      <c r="J9" s="24">
        <f>'8'!$U$3</f>
        <v>0.8947984293543515</v>
      </c>
      <c r="K9" s="24">
        <f>'8'!$W$3</f>
        <v>0.82992103959467955</v>
      </c>
      <c r="L9" s="24">
        <f>'8'!$U$7</f>
        <v>80.542324120597542</v>
      </c>
      <c r="M9" s="24">
        <f>'8'!$W$7</f>
        <v>1.8842512420391446</v>
      </c>
      <c r="N9" s="24">
        <f>'8'!$U$8</f>
        <v>766.15271394839544</v>
      </c>
      <c r="O9" s="24">
        <f>'8'!$W$8</f>
        <v>23.123109317133469</v>
      </c>
      <c r="Q9" s="24">
        <f t="shared" si="0"/>
        <v>2002.4193548387098</v>
      </c>
      <c r="U9" s="36">
        <v>45981</v>
      </c>
    </row>
    <row r="10" spans="1:21" s="24" customFormat="1" x14ac:dyDescent="0.25">
      <c r="A10" s="24">
        <v>9</v>
      </c>
      <c r="B10">
        <f t="shared" si="3"/>
        <v>4</v>
      </c>
      <c r="C10">
        <v>0.5</v>
      </c>
      <c r="D10" s="24">
        <f>'9'!$U$2</f>
        <v>406.25746655067923</v>
      </c>
      <c r="E10" s="24">
        <f>'9'!$W$2</f>
        <v>16.427740539665681</v>
      </c>
      <c r="F10" s="24">
        <f>'9'!$U$14</f>
        <v>191.07042656977242</v>
      </c>
      <c r="G10" s="24">
        <f>'9'!$W$14</f>
        <v>2.7061704157699142</v>
      </c>
      <c r="H10" s="24">
        <f t="shared" si="1"/>
        <v>215.1870399809068</v>
      </c>
      <c r="I10" s="24">
        <f t="shared" si="2"/>
        <v>16.649144649433602</v>
      </c>
      <c r="J10" s="24">
        <f>'9'!$U$3</f>
        <v>1.7408129052263375</v>
      </c>
      <c r="K10" s="24">
        <f>'9'!$W$3</f>
        <v>0.75553697843838785</v>
      </c>
      <c r="L10" s="24">
        <f>'9'!$U$7</f>
        <v>39.912716938906492</v>
      </c>
      <c r="M10" s="24">
        <f>'9'!$W$7</f>
        <v>1.2881124338986083</v>
      </c>
      <c r="N10" s="24">
        <f>'9'!$U$8</f>
        <v>797.8491835391518</v>
      </c>
      <c r="O10" s="24">
        <f>'9'!$W$8</f>
        <v>22.438911365064133</v>
      </c>
      <c r="Q10" s="24">
        <f t="shared" si="0"/>
        <v>2000.1935483870968</v>
      </c>
      <c r="U10" s="35">
        <v>45951</v>
      </c>
    </row>
    <row r="11" spans="1:21" s="24" customFormat="1" x14ac:dyDescent="0.25">
      <c r="A11" s="24">
        <v>10</v>
      </c>
      <c r="B11">
        <f t="shared" si="3"/>
        <v>4.5</v>
      </c>
      <c r="C11">
        <v>0.5</v>
      </c>
      <c r="D11" s="24">
        <f>'10'!$U$2</f>
        <v>341.77071108219769</v>
      </c>
      <c r="E11" s="24">
        <f>'10'!$W$2</f>
        <v>15.75546551599307</v>
      </c>
      <c r="F11" s="24">
        <f>'10'!$U$14</f>
        <v>190.3154032132949</v>
      </c>
      <c r="G11" s="24">
        <f>'10'!$W$14</f>
        <v>2.7877763734483594</v>
      </c>
      <c r="H11" s="24">
        <f t="shared" si="1"/>
        <v>151.45530786890279</v>
      </c>
      <c r="I11" s="24">
        <f t="shared" si="2"/>
        <v>16.000199709191246</v>
      </c>
      <c r="J11" s="24">
        <f>'10'!$U$3</f>
        <v>2.0384317773575895</v>
      </c>
      <c r="K11" s="24">
        <f>'10'!$W$3</f>
        <v>0.75238797914944844</v>
      </c>
      <c r="L11" s="24">
        <f>'10'!$U$7</f>
        <v>22.969396669172237</v>
      </c>
      <c r="M11" s="24">
        <f>'10'!$W$7</f>
        <v>1.0499901865022545</v>
      </c>
      <c r="N11" s="24">
        <f>'10'!$U$8</f>
        <v>826.49484561765053</v>
      </c>
      <c r="O11" s="24">
        <f>'10'!$W$8</f>
        <v>23.599939542772756</v>
      </c>
      <c r="Q11" s="24">
        <f t="shared" si="0"/>
        <v>1997.9677419354839</v>
      </c>
      <c r="U11" s="36">
        <v>45988</v>
      </c>
    </row>
    <row r="12" spans="1:21" s="24" customFormat="1" x14ac:dyDescent="0.25">
      <c r="A12" s="24">
        <v>11</v>
      </c>
      <c r="B12">
        <f t="shared" si="3"/>
        <v>5</v>
      </c>
      <c r="C12">
        <v>0.5</v>
      </c>
      <c r="D12" s="24">
        <f>'11'!$U$2</f>
        <v>273.43360392533259</v>
      </c>
      <c r="E12" s="24">
        <f>'11'!$W$2</f>
        <v>14.233889617924191</v>
      </c>
      <c r="F12" s="24">
        <f>'11'!$U$14</f>
        <v>190.61070807076098</v>
      </c>
      <c r="G12" s="24">
        <f>'11'!$W$14</f>
        <v>2.6002757864251529</v>
      </c>
      <c r="H12" s="24">
        <f t="shared" si="1"/>
        <v>82.822895854571613</v>
      </c>
      <c r="I12" s="24">
        <f t="shared" si="2"/>
        <v>14.469452229463251</v>
      </c>
      <c r="J12" s="24">
        <f>'11'!$U$3</f>
        <v>0.79026873172293366</v>
      </c>
      <c r="K12" s="24">
        <f>'11'!$W$3</f>
        <v>0.73561047937456969</v>
      </c>
      <c r="L12" s="24">
        <f>'11'!$U$7</f>
        <v>20.49093959701451</v>
      </c>
      <c r="M12" s="24">
        <f>'11'!$W$7</f>
        <v>1.088186466609776</v>
      </c>
      <c r="N12" s="24">
        <f>'11'!$U$8</f>
        <v>957.64312117579573</v>
      </c>
      <c r="O12" s="24">
        <f>'11'!$W$8</f>
        <v>26.206604599102473</v>
      </c>
      <c r="Q12" s="24">
        <f t="shared" si="0"/>
        <v>1995.741935483871</v>
      </c>
      <c r="U12" s="36">
        <v>45974</v>
      </c>
    </row>
    <row r="13" spans="1:21" s="24" customFormat="1" x14ac:dyDescent="0.25">
      <c r="A13" s="24">
        <v>12</v>
      </c>
      <c r="B13">
        <f t="shared" si="3"/>
        <v>5.5</v>
      </c>
      <c r="C13">
        <v>0.5</v>
      </c>
      <c r="D13" s="24" t="e">
        <f>'12'!$U$2</f>
        <v>#DIV/0!</v>
      </c>
      <c r="E13" s="24" t="e">
        <f>'12'!$W$2</f>
        <v>#DIV/0!</v>
      </c>
      <c r="F13" s="24" t="e">
        <f>'12'!$U$14</f>
        <v>#DIV/0!</v>
      </c>
      <c r="G13" s="24" t="e">
        <f>'12'!$W$14</f>
        <v>#DIV/0!</v>
      </c>
      <c r="H13" s="24" t="e">
        <f t="shared" si="1"/>
        <v>#DIV/0!</v>
      </c>
      <c r="I13" s="24" t="e">
        <f t="shared" si="2"/>
        <v>#DIV/0!</v>
      </c>
      <c r="J13" s="24" t="e">
        <f>'12'!$U$3</f>
        <v>#DIV/0!</v>
      </c>
      <c r="K13" s="24" t="e">
        <f>'12'!$W$3</f>
        <v>#DIV/0!</v>
      </c>
      <c r="L13" s="24" t="e">
        <f>'12'!$U$7</f>
        <v>#DIV/0!</v>
      </c>
      <c r="M13" s="24" t="e">
        <f>'12'!$W$7</f>
        <v>#DIV/0!</v>
      </c>
      <c r="N13" s="24" t="e">
        <f>'12'!$U$8</f>
        <v>#DIV/0!</v>
      </c>
      <c r="O13" s="24" t="e">
        <f>'12'!$W$8</f>
        <v>#DIV/0!</v>
      </c>
      <c r="Q13" s="24">
        <f t="shared" si="0"/>
        <v>1993.516129032258</v>
      </c>
    </row>
    <row r="14" spans="1:21" s="24" customFormat="1" x14ac:dyDescent="0.25">
      <c r="A14" s="24">
        <v>13</v>
      </c>
      <c r="B14">
        <f t="shared" si="3"/>
        <v>6</v>
      </c>
      <c r="C14">
        <v>0.5</v>
      </c>
      <c r="D14" s="24">
        <f>'13'!$U$2</f>
        <v>287.68843868250713</v>
      </c>
      <c r="E14" s="24">
        <f>'13'!$W$2</f>
        <v>14.639212454989254</v>
      </c>
      <c r="F14" s="24">
        <f>'13'!$U$14</f>
        <v>185.77229452014956</v>
      </c>
      <c r="G14" s="24">
        <f>'13'!$W$14</f>
        <v>2.6616939148902805</v>
      </c>
      <c r="H14" s="24">
        <f t="shared" si="1"/>
        <v>101.91614416235757</v>
      </c>
      <c r="I14" s="24">
        <f t="shared" si="2"/>
        <v>14.879218924354747</v>
      </c>
      <c r="J14" s="24">
        <f>'13'!$U$3</f>
        <v>1.0382318269376398</v>
      </c>
      <c r="K14" s="24">
        <f>'13'!$W$3</f>
        <v>0.72263974896841765</v>
      </c>
      <c r="L14" s="24">
        <f>'13'!$U$7</f>
        <v>10.391904897510631</v>
      </c>
      <c r="M14" s="24">
        <f>'13'!$W$7</f>
        <v>0.74849406413618191</v>
      </c>
      <c r="N14" s="24">
        <f>'13'!$U$8</f>
        <v>819.13964604997295</v>
      </c>
      <c r="O14" s="24">
        <f>'13'!$W$8</f>
        <v>22.745442639504613</v>
      </c>
      <c r="Q14" s="24">
        <f t="shared" si="0"/>
        <v>1991.2903225806451</v>
      </c>
      <c r="U14" s="35">
        <v>45951</v>
      </c>
    </row>
    <row r="15" spans="1:21" s="24" customFormat="1" x14ac:dyDescent="0.25">
      <c r="A15" s="24">
        <v>14</v>
      </c>
      <c r="B15">
        <f t="shared" si="3"/>
        <v>6.5</v>
      </c>
      <c r="C15">
        <v>0.5</v>
      </c>
      <c r="D15" s="24" t="e">
        <f>'14'!$U$2</f>
        <v>#DIV/0!</v>
      </c>
      <c r="E15" s="24" t="e">
        <f>'14'!$W$2</f>
        <v>#DIV/0!</v>
      </c>
      <c r="F15" s="24" t="e">
        <f>'14'!$U$14</f>
        <v>#DIV/0!</v>
      </c>
      <c r="G15" s="24" t="e">
        <f>'14'!$W$14</f>
        <v>#DIV/0!</v>
      </c>
      <c r="H15" s="24" t="e">
        <f t="shared" si="1"/>
        <v>#DIV/0!</v>
      </c>
      <c r="I15" s="24" t="e">
        <f t="shared" si="2"/>
        <v>#DIV/0!</v>
      </c>
      <c r="J15" s="24" t="e">
        <f>'14'!$U$3</f>
        <v>#DIV/0!</v>
      </c>
      <c r="K15" s="24" t="e">
        <f>'14'!$W$3</f>
        <v>#DIV/0!</v>
      </c>
      <c r="L15" s="24" t="e">
        <f>'14'!$U$7</f>
        <v>#DIV/0!</v>
      </c>
      <c r="M15" s="24" t="e">
        <f>'14'!$W$7</f>
        <v>#DIV/0!</v>
      </c>
      <c r="N15" s="24" t="e">
        <f>'14'!$U$8</f>
        <v>#DIV/0!</v>
      </c>
      <c r="O15" s="24" t="e">
        <f>'14'!$W$8</f>
        <v>#DIV/0!</v>
      </c>
      <c r="Q15" s="24">
        <f t="shared" si="0"/>
        <v>1989.0645161290322</v>
      </c>
    </row>
    <row r="16" spans="1:21" s="24" customFormat="1" x14ac:dyDescent="0.25">
      <c r="A16" s="24">
        <v>15</v>
      </c>
      <c r="B16">
        <f t="shared" si="3"/>
        <v>7</v>
      </c>
      <c r="C16">
        <v>0.5</v>
      </c>
      <c r="D16" s="24" t="e">
        <f>'15'!$U$2</f>
        <v>#DIV/0!</v>
      </c>
      <c r="E16" s="24" t="e">
        <f>'15'!$W$2</f>
        <v>#DIV/0!</v>
      </c>
      <c r="F16" s="24" t="e">
        <f>'15'!$U$14</f>
        <v>#DIV/0!</v>
      </c>
      <c r="G16" s="24" t="e">
        <f>'15'!$W$14</f>
        <v>#DIV/0!</v>
      </c>
      <c r="H16" s="24" t="e">
        <f t="shared" si="1"/>
        <v>#DIV/0!</v>
      </c>
      <c r="I16" s="24" t="e">
        <f t="shared" si="2"/>
        <v>#DIV/0!</v>
      </c>
      <c r="J16" s="24" t="e">
        <f>'15'!$U$3</f>
        <v>#DIV/0!</v>
      </c>
      <c r="K16" s="24" t="e">
        <f>'15'!$W$3</f>
        <v>#DIV/0!</v>
      </c>
      <c r="L16" s="24" t="e">
        <f>'15'!$U$7</f>
        <v>#DIV/0!</v>
      </c>
      <c r="M16" s="24" t="e">
        <f>'15'!$W$7</f>
        <v>#DIV/0!</v>
      </c>
      <c r="N16" s="24" t="e">
        <f>'15'!$U$8</f>
        <v>#DIV/0!</v>
      </c>
      <c r="O16" s="24" t="e">
        <f>'15'!$W$8</f>
        <v>#DIV/0!</v>
      </c>
      <c r="Q16" s="24">
        <f t="shared" si="0"/>
        <v>1986.8387096774193</v>
      </c>
    </row>
    <row r="17" spans="1:21" x14ac:dyDescent="0.25">
      <c r="A17">
        <v>16</v>
      </c>
      <c r="B17">
        <f t="shared" si="3"/>
        <v>7.5</v>
      </c>
      <c r="C17">
        <v>0.5</v>
      </c>
      <c r="D17">
        <f>'16'!$U$2</f>
        <v>265.33809721398541</v>
      </c>
      <c r="E17">
        <f>'16'!$W$2</f>
        <v>9.4323903329717425</v>
      </c>
      <c r="F17">
        <f>'16'!$U$14</f>
        <v>179.53211376676353</v>
      </c>
      <c r="G17">
        <f>'16'!$W$14</f>
        <v>1.736266117635423</v>
      </c>
      <c r="H17">
        <f t="shared" si="1"/>
        <v>85.805983447221877</v>
      </c>
      <c r="I17">
        <f t="shared" si="2"/>
        <v>9.5908606196100852</v>
      </c>
      <c r="J17">
        <f>'16'!$U$3</f>
        <v>0.38497597878217721</v>
      </c>
      <c r="K17">
        <f>'16'!$W$3</f>
        <v>0.48600834985767161</v>
      </c>
      <c r="L17">
        <f>'16'!$U$7</f>
        <v>6.9565834762393424</v>
      </c>
      <c r="M17">
        <f>'16'!$W$7</f>
        <v>0.41975223995085559</v>
      </c>
      <c r="N17">
        <f>'16'!$U$8</f>
        <v>810.57106285252769</v>
      </c>
      <c r="O17">
        <f>'16'!$W$8</f>
        <v>15.02818507684537</v>
      </c>
      <c r="Q17">
        <f t="shared" si="0"/>
        <v>1984.6129032258063</v>
      </c>
      <c r="U17" s="35">
        <v>45968</v>
      </c>
    </row>
    <row r="18" spans="1:21" s="34" customFormat="1" x14ac:dyDescent="0.25">
      <c r="A18" s="34">
        <v>17</v>
      </c>
      <c r="D18" s="34" t="e">
        <f>'17'!$U$2</f>
        <v>#DIV/0!</v>
      </c>
      <c r="E18" s="34" t="e">
        <f>'17'!$W$2</f>
        <v>#DIV/0!</v>
      </c>
      <c r="F18" s="34" t="e">
        <f>'17'!$U$14</f>
        <v>#DIV/0!</v>
      </c>
      <c r="G18" s="34" t="e">
        <f>'17'!$W$14</f>
        <v>#DIV/0!</v>
      </c>
      <c r="H18" s="34" t="e">
        <f t="shared" si="1"/>
        <v>#DIV/0!</v>
      </c>
      <c r="I18" s="34" t="e">
        <f t="shared" si="2"/>
        <v>#DIV/0!</v>
      </c>
      <c r="J18" s="34" t="e">
        <f>'17'!$U$3</f>
        <v>#DIV/0!</v>
      </c>
      <c r="K18" s="34" t="e">
        <f>'17'!$W$3</f>
        <v>#DIV/0!</v>
      </c>
      <c r="L18" s="34" t="e">
        <f>'17'!$U$7</f>
        <v>#DIV/0!</v>
      </c>
      <c r="M18" s="34" t="e">
        <f>'17'!$W$7</f>
        <v>#DIV/0!</v>
      </c>
      <c r="N18" s="34" t="e">
        <f>'17'!$U$8</f>
        <v>#DIV/0!</v>
      </c>
      <c r="O18" s="34" t="e">
        <f>'17'!$W$8</f>
        <v>#DIV/0!</v>
      </c>
      <c r="Q18" s="34">
        <f t="shared" si="0"/>
        <v>2018</v>
      </c>
    </row>
    <row r="19" spans="1:21" s="34" customFormat="1" x14ac:dyDescent="0.25">
      <c r="A19" s="34">
        <v>18</v>
      </c>
      <c r="D19" s="34" t="e">
        <f>'18'!$U$2</f>
        <v>#DIV/0!</v>
      </c>
      <c r="E19" s="34" t="e">
        <f>'18'!$W$2</f>
        <v>#DIV/0!</v>
      </c>
      <c r="F19" s="34" t="e">
        <f>'18'!$U$14</f>
        <v>#DIV/0!</v>
      </c>
      <c r="G19" s="34" t="e">
        <f>'18'!$W$14</f>
        <v>#DIV/0!</v>
      </c>
      <c r="H19" s="34" t="e">
        <f t="shared" si="1"/>
        <v>#DIV/0!</v>
      </c>
      <c r="I19" s="34" t="e">
        <f t="shared" si="2"/>
        <v>#DIV/0!</v>
      </c>
      <c r="J19" s="34" t="e">
        <f>'18'!$U$3</f>
        <v>#DIV/0!</v>
      </c>
      <c r="K19" s="34" t="e">
        <f>'18'!$W$3</f>
        <v>#DIV/0!</v>
      </c>
      <c r="L19" s="34" t="e">
        <f>'18'!$U$7</f>
        <v>#DIV/0!</v>
      </c>
      <c r="M19" s="34" t="e">
        <f>'18'!$W$7</f>
        <v>#DIV/0!</v>
      </c>
      <c r="N19" s="34" t="e">
        <f>'18'!$U$8</f>
        <v>#DIV/0!</v>
      </c>
      <c r="O19" s="34" t="e">
        <f>'18'!$W$8</f>
        <v>#DIV/0!</v>
      </c>
      <c r="Q19" s="34">
        <f t="shared" si="0"/>
        <v>2018</v>
      </c>
    </row>
    <row r="20" spans="1:21" s="34" customFormat="1" x14ac:dyDescent="0.25">
      <c r="A20" s="34">
        <v>19</v>
      </c>
      <c r="D20" s="34" t="e">
        <f>'19'!$U$2</f>
        <v>#DIV/0!</v>
      </c>
      <c r="E20" s="34" t="e">
        <f>'19'!$W$2</f>
        <v>#DIV/0!</v>
      </c>
      <c r="F20" s="34" t="e">
        <f>'19'!$U$14</f>
        <v>#DIV/0!</v>
      </c>
      <c r="G20" s="34" t="e">
        <f>'19'!$W$14</f>
        <v>#DIV/0!</v>
      </c>
      <c r="H20" s="34" t="e">
        <f t="shared" si="1"/>
        <v>#DIV/0!</v>
      </c>
      <c r="I20" s="34" t="e">
        <f t="shared" si="2"/>
        <v>#DIV/0!</v>
      </c>
      <c r="J20" s="34" t="e">
        <f>'19'!$U$3</f>
        <v>#DIV/0!</v>
      </c>
      <c r="K20" s="34" t="e">
        <f>'19'!$W$3</f>
        <v>#DIV/0!</v>
      </c>
      <c r="L20" s="34" t="e">
        <f>'19'!$U$7</f>
        <v>#DIV/0!</v>
      </c>
      <c r="M20" s="34" t="e">
        <f>'19'!$W$7</f>
        <v>#DIV/0!</v>
      </c>
      <c r="N20" s="34" t="e">
        <f>'19'!$U$8</f>
        <v>#DIV/0!</v>
      </c>
      <c r="O20" s="34" t="e">
        <f>'19'!$W$8</f>
        <v>#DIV/0!</v>
      </c>
      <c r="Q20" s="34">
        <f t="shared" si="0"/>
        <v>2018</v>
      </c>
    </row>
    <row r="21" spans="1:21" s="34" customFormat="1" x14ac:dyDescent="0.25">
      <c r="A21" s="34">
        <v>20</v>
      </c>
      <c r="D21" s="34" t="e">
        <f>'20'!$U$2</f>
        <v>#DIV/0!</v>
      </c>
      <c r="E21" s="34" t="e">
        <f>'20'!$W$2</f>
        <v>#DIV/0!</v>
      </c>
      <c r="F21" s="34" t="e">
        <f>'20'!$U$14</f>
        <v>#DIV/0!</v>
      </c>
      <c r="G21" s="34" t="e">
        <f>'20'!$W$14</f>
        <v>#DIV/0!</v>
      </c>
      <c r="H21" s="34" t="e">
        <f t="shared" si="1"/>
        <v>#DIV/0!</v>
      </c>
      <c r="I21" s="34" t="e">
        <f t="shared" si="2"/>
        <v>#DIV/0!</v>
      </c>
      <c r="J21" s="34" t="e">
        <f>'20'!$U$3</f>
        <v>#DIV/0!</v>
      </c>
      <c r="K21" s="34" t="e">
        <f>'20'!$W$3</f>
        <v>#DIV/0!</v>
      </c>
      <c r="L21" s="34" t="e">
        <f>'20'!$U$7</f>
        <v>#DIV/0!</v>
      </c>
      <c r="M21" s="34" t="e">
        <f>'20'!$W$7</f>
        <v>#DIV/0!</v>
      </c>
      <c r="N21" s="34" t="e">
        <f>'20'!$U$8</f>
        <v>#DIV/0!</v>
      </c>
      <c r="O21" s="34" t="e">
        <f>'20'!$W$8</f>
        <v>#DIV/0!</v>
      </c>
      <c r="Q21" s="34">
        <f t="shared" si="0"/>
        <v>2018</v>
      </c>
    </row>
    <row r="22" spans="1:21" s="34" customFormat="1" x14ac:dyDescent="0.25">
      <c r="A22" s="34">
        <v>21</v>
      </c>
      <c r="D22" s="34" t="e">
        <f>'21'!$U$2</f>
        <v>#DIV/0!</v>
      </c>
      <c r="E22" s="34" t="e">
        <f>'21'!$W$2</f>
        <v>#DIV/0!</v>
      </c>
      <c r="F22" s="34" t="e">
        <f>'21'!$U$14</f>
        <v>#DIV/0!</v>
      </c>
      <c r="G22" s="34" t="e">
        <f>'21'!$W$14</f>
        <v>#DIV/0!</v>
      </c>
      <c r="H22" s="34" t="e">
        <f t="shared" si="1"/>
        <v>#DIV/0!</v>
      </c>
      <c r="I22" s="34" t="e">
        <f t="shared" si="2"/>
        <v>#DIV/0!</v>
      </c>
      <c r="J22" s="34" t="e">
        <f>'21'!$U$3</f>
        <v>#DIV/0!</v>
      </c>
      <c r="K22" s="34" t="e">
        <f>'21'!$W$3</f>
        <v>#DIV/0!</v>
      </c>
      <c r="L22" s="34" t="e">
        <f>'21'!$U$7</f>
        <v>#DIV/0!</v>
      </c>
      <c r="M22" s="34" t="e">
        <f>'21'!$W$7</f>
        <v>#DIV/0!</v>
      </c>
      <c r="N22" s="34" t="e">
        <f>'21'!$U$8</f>
        <v>#DIV/0!</v>
      </c>
      <c r="O22" s="34" t="e">
        <f>'21'!$W$8</f>
        <v>#DIV/0!</v>
      </c>
      <c r="Q22" s="34">
        <f t="shared" si="0"/>
        <v>2018</v>
      </c>
    </row>
    <row r="23" spans="1:21" s="34" customFormat="1" x14ac:dyDescent="0.25">
      <c r="A23" s="34">
        <v>22</v>
      </c>
      <c r="D23" s="34" t="e">
        <f>'22'!$U$2</f>
        <v>#DIV/0!</v>
      </c>
      <c r="E23" s="34" t="e">
        <f>'22'!$W$2</f>
        <v>#DIV/0!</v>
      </c>
      <c r="F23" s="34" t="e">
        <f>'22'!$U$14</f>
        <v>#DIV/0!</v>
      </c>
      <c r="G23" s="34" t="e">
        <f>'22'!$W$14</f>
        <v>#DIV/0!</v>
      </c>
      <c r="H23" s="34" t="e">
        <f t="shared" si="1"/>
        <v>#DIV/0!</v>
      </c>
      <c r="I23" s="34" t="e">
        <f t="shared" si="2"/>
        <v>#DIV/0!</v>
      </c>
      <c r="J23" s="34" t="e">
        <f>'22'!$U$3</f>
        <v>#DIV/0!</v>
      </c>
      <c r="K23" s="34" t="e">
        <f>'22'!$W$3</f>
        <v>#DIV/0!</v>
      </c>
      <c r="L23" s="34" t="e">
        <f>'22'!$U$7</f>
        <v>#DIV/0!</v>
      </c>
      <c r="M23" s="34" t="e">
        <f>'22'!$W$7</f>
        <v>#DIV/0!</v>
      </c>
      <c r="N23" s="34" t="e">
        <f>'22'!$U$8</f>
        <v>#DIV/0!</v>
      </c>
      <c r="O23" s="34" t="e">
        <f>'22'!$W$8</f>
        <v>#DIV/0!</v>
      </c>
      <c r="Q23" s="34">
        <f t="shared" si="0"/>
        <v>2018</v>
      </c>
    </row>
    <row r="24" spans="1:21" s="34" customFormat="1" x14ac:dyDescent="0.25">
      <c r="A24" s="34">
        <v>23</v>
      </c>
      <c r="D24" s="34" t="e">
        <f>'23'!$U$2</f>
        <v>#DIV/0!</v>
      </c>
      <c r="E24" s="34" t="e">
        <f>'23'!$W$2</f>
        <v>#DIV/0!</v>
      </c>
      <c r="F24" s="34" t="e">
        <f>'23'!$U$14</f>
        <v>#DIV/0!</v>
      </c>
      <c r="G24" s="34" t="e">
        <f>'23'!$W$14</f>
        <v>#DIV/0!</v>
      </c>
      <c r="H24" s="34" t="e">
        <f t="shared" si="1"/>
        <v>#DIV/0!</v>
      </c>
      <c r="I24" s="34" t="e">
        <f t="shared" si="2"/>
        <v>#DIV/0!</v>
      </c>
      <c r="J24" s="34" t="e">
        <f>'23'!$U$3</f>
        <v>#DIV/0!</v>
      </c>
      <c r="K24" s="34" t="e">
        <f>'23'!$W$3</f>
        <v>#DIV/0!</v>
      </c>
      <c r="L24" s="34" t="e">
        <f>'23'!$U$7</f>
        <v>#DIV/0!</v>
      </c>
      <c r="M24" s="34" t="e">
        <f>'23'!$W$7</f>
        <v>#DIV/0!</v>
      </c>
      <c r="N24" s="34" t="e">
        <f>'23'!$U$8</f>
        <v>#DIV/0!</v>
      </c>
      <c r="O24" s="34" t="e">
        <f>'23'!$W$8</f>
        <v>#DIV/0!</v>
      </c>
      <c r="Q24" s="34">
        <f t="shared" si="0"/>
        <v>2018</v>
      </c>
    </row>
    <row r="25" spans="1:21" x14ac:dyDescent="0.25">
      <c r="A25">
        <v>24</v>
      </c>
      <c r="D25" t="e">
        <f>'24'!$U$2</f>
        <v>#DIV/0!</v>
      </c>
      <c r="E25" t="e">
        <f>'24'!$W$2</f>
        <v>#DIV/0!</v>
      </c>
      <c r="F25" t="e">
        <f>'24'!$U$14</f>
        <v>#DIV/0!</v>
      </c>
      <c r="G25" t="e">
        <f>'24'!$W$14</f>
        <v>#DIV/0!</v>
      </c>
      <c r="H25" t="e">
        <f t="shared" si="1"/>
        <v>#DIV/0!</v>
      </c>
      <c r="I25" t="e">
        <f t="shared" si="2"/>
        <v>#DIV/0!</v>
      </c>
      <c r="J25" t="e">
        <f>'24'!$U$3</f>
        <v>#DIV/0!</v>
      </c>
      <c r="K25" t="e">
        <f>'24'!$W$3</f>
        <v>#DIV/0!</v>
      </c>
      <c r="L25" t="e">
        <f>'24'!$U$7</f>
        <v>#DIV/0!</v>
      </c>
      <c r="M25" t="e">
        <f>'24'!$W$7</f>
        <v>#DIV/0!</v>
      </c>
      <c r="N25" t="e">
        <f>'24'!$U$8</f>
        <v>#DIV/0!</v>
      </c>
      <c r="O25" t="e">
        <f>'24'!$W$8</f>
        <v>#DIV/0!</v>
      </c>
      <c r="Q25">
        <f t="shared" si="0"/>
        <v>2018</v>
      </c>
    </row>
    <row r="26" spans="1:21" x14ac:dyDescent="0.25">
      <c r="A26">
        <v>25</v>
      </c>
      <c r="D26" t="e">
        <f>'25'!$U$2</f>
        <v>#DIV/0!</v>
      </c>
      <c r="E26" t="e">
        <f>'25'!$W$2</f>
        <v>#DIV/0!</v>
      </c>
      <c r="F26" t="e">
        <f>'25'!$U$14</f>
        <v>#DIV/0!</v>
      </c>
      <c r="G26" t="e">
        <f>'25'!$W$14</f>
        <v>#DIV/0!</v>
      </c>
      <c r="H26" t="e">
        <f t="shared" si="1"/>
        <v>#DIV/0!</v>
      </c>
      <c r="I26" t="e">
        <f t="shared" si="2"/>
        <v>#DIV/0!</v>
      </c>
      <c r="J26" t="e">
        <f>'25'!$U$3</f>
        <v>#DIV/0!</v>
      </c>
      <c r="K26" t="e">
        <f>'25'!$W$3</f>
        <v>#DIV/0!</v>
      </c>
      <c r="L26" t="e">
        <f>'25'!$U$7</f>
        <v>#DIV/0!</v>
      </c>
      <c r="M26" t="e">
        <f>'25'!$W$7</f>
        <v>#DIV/0!</v>
      </c>
      <c r="N26" t="e">
        <f>'25'!$U$8</f>
        <v>#DIV/0!</v>
      </c>
      <c r="O26" t="e">
        <f>'25'!$W$8</f>
        <v>#DIV/0!</v>
      </c>
      <c r="Q26">
        <f t="shared" si="0"/>
        <v>2018</v>
      </c>
    </row>
    <row r="27" spans="1:21" x14ac:dyDescent="0.25">
      <c r="A27">
        <v>26</v>
      </c>
      <c r="D27" t="e">
        <f>'26'!$U$2</f>
        <v>#DIV/0!</v>
      </c>
      <c r="E27" t="e">
        <f>'26'!$W$2</f>
        <v>#DIV/0!</v>
      </c>
      <c r="F27" t="e">
        <f>'26'!$U$14</f>
        <v>#DIV/0!</v>
      </c>
      <c r="G27" t="e">
        <f>'26'!$W$14</f>
        <v>#DIV/0!</v>
      </c>
      <c r="H27" t="e">
        <f t="shared" ref="H27:H31" si="4">D27-F27</f>
        <v>#DIV/0!</v>
      </c>
      <c r="I27" t="e">
        <f t="shared" ref="I27:I31" si="5">(SQRT((E27*E27)+(G27*G27)))</f>
        <v>#DIV/0!</v>
      </c>
      <c r="J27" t="e">
        <f>'26'!$U$3</f>
        <v>#DIV/0!</v>
      </c>
      <c r="K27" t="e">
        <f>'26'!$W$3</f>
        <v>#DIV/0!</v>
      </c>
      <c r="L27" t="e">
        <f>'26'!$U$7</f>
        <v>#DIV/0!</v>
      </c>
      <c r="M27" t="e">
        <f>'26'!$W$7</f>
        <v>#DIV/0!</v>
      </c>
      <c r="N27" t="e">
        <f>'26'!$U$8</f>
        <v>#DIV/0!</v>
      </c>
      <c r="O27" t="e">
        <f>'26'!$W$8</f>
        <v>#DIV/0!</v>
      </c>
      <c r="Q27">
        <f t="shared" ref="Q27:Q31" si="6">2018-(B27/$S$1)</f>
        <v>2018</v>
      </c>
    </row>
    <row r="28" spans="1:21" x14ac:dyDescent="0.25">
      <c r="A28" s="29">
        <v>27</v>
      </c>
      <c r="D28" t="e">
        <f>'27'!$U$2</f>
        <v>#DIV/0!</v>
      </c>
      <c r="E28" t="e">
        <f>'27'!$W$2</f>
        <v>#DIV/0!</v>
      </c>
      <c r="F28" t="e">
        <f>'27'!$U$14</f>
        <v>#DIV/0!</v>
      </c>
      <c r="G28" t="e">
        <f>'27'!$W$14</f>
        <v>#DIV/0!</v>
      </c>
      <c r="H28" t="e">
        <f t="shared" si="4"/>
        <v>#DIV/0!</v>
      </c>
      <c r="I28" t="e">
        <f t="shared" si="5"/>
        <v>#DIV/0!</v>
      </c>
      <c r="J28" t="e">
        <f>'27'!$U$3</f>
        <v>#DIV/0!</v>
      </c>
      <c r="K28" t="e">
        <f>'27'!$W$3</f>
        <v>#DIV/0!</v>
      </c>
      <c r="L28" t="e">
        <f>'27'!$U$7</f>
        <v>#DIV/0!</v>
      </c>
      <c r="M28" t="e">
        <f>'27'!$W$7</f>
        <v>#DIV/0!</v>
      </c>
      <c r="N28" t="e">
        <f>'27'!$U$8</f>
        <v>#DIV/0!</v>
      </c>
      <c r="O28" t="e">
        <f>'27'!$W$8</f>
        <v>#DIV/0!</v>
      </c>
      <c r="Q28">
        <f t="shared" si="6"/>
        <v>2018</v>
      </c>
    </row>
    <row r="29" spans="1:21" x14ac:dyDescent="0.25">
      <c r="A29">
        <v>28</v>
      </c>
      <c r="D29" t="e">
        <f>'28'!$U$2</f>
        <v>#DIV/0!</v>
      </c>
      <c r="E29" t="e">
        <f>'28'!$W$2</f>
        <v>#DIV/0!</v>
      </c>
      <c r="F29" t="e">
        <f>'28'!$U$14</f>
        <v>#DIV/0!</v>
      </c>
      <c r="G29" t="e">
        <f>'28'!$W$14</f>
        <v>#DIV/0!</v>
      </c>
      <c r="H29" t="e">
        <f t="shared" si="4"/>
        <v>#DIV/0!</v>
      </c>
      <c r="I29" t="e">
        <f t="shared" si="5"/>
        <v>#DIV/0!</v>
      </c>
      <c r="J29" t="e">
        <f>'28'!$U$3</f>
        <v>#DIV/0!</v>
      </c>
      <c r="K29" t="e">
        <f>'28'!$W$3</f>
        <v>#DIV/0!</v>
      </c>
      <c r="L29" t="e">
        <f>'28'!$U$7</f>
        <v>#DIV/0!</v>
      </c>
      <c r="M29" t="e">
        <f>'28'!$W$7</f>
        <v>#DIV/0!</v>
      </c>
      <c r="N29" t="e">
        <f>'28'!$U$8</f>
        <v>#DIV/0!</v>
      </c>
      <c r="O29" t="e">
        <f>'28'!$W$8</f>
        <v>#DIV/0!</v>
      </c>
      <c r="Q29">
        <f t="shared" si="6"/>
        <v>2018</v>
      </c>
    </row>
    <row r="30" spans="1:21" x14ac:dyDescent="0.25">
      <c r="A30">
        <v>29</v>
      </c>
      <c r="D30" t="e">
        <f>'29'!$U$2</f>
        <v>#DIV/0!</v>
      </c>
      <c r="E30" t="e">
        <f>'29'!$W$2</f>
        <v>#DIV/0!</v>
      </c>
      <c r="F30" t="e">
        <f>'29'!$U$14</f>
        <v>#DIV/0!</v>
      </c>
      <c r="G30" t="e">
        <f>'29'!$W$14</f>
        <v>#DIV/0!</v>
      </c>
      <c r="H30" t="e">
        <f t="shared" si="4"/>
        <v>#DIV/0!</v>
      </c>
      <c r="I30" t="e">
        <f t="shared" si="5"/>
        <v>#DIV/0!</v>
      </c>
      <c r="J30" t="e">
        <f>'29'!$U$3</f>
        <v>#DIV/0!</v>
      </c>
      <c r="K30" t="e">
        <f>'29'!$W$3</f>
        <v>#DIV/0!</v>
      </c>
      <c r="L30" t="e">
        <f>'29'!$U$7</f>
        <v>#DIV/0!</v>
      </c>
      <c r="M30" t="e">
        <f>'29'!$W$7</f>
        <v>#DIV/0!</v>
      </c>
      <c r="N30" t="e">
        <f>'29'!$U$8</f>
        <v>#DIV/0!</v>
      </c>
      <c r="O30" t="e">
        <f>'29'!$W$8</f>
        <v>#DIV/0!</v>
      </c>
      <c r="Q30">
        <f t="shared" si="6"/>
        <v>2018</v>
      </c>
    </row>
    <row r="31" spans="1:21" x14ac:dyDescent="0.25">
      <c r="A31">
        <v>30</v>
      </c>
      <c r="D31" t="e">
        <f>'30'!$U$2</f>
        <v>#DIV/0!</v>
      </c>
      <c r="E31" t="e">
        <f>'30'!$W$2</f>
        <v>#DIV/0!</v>
      </c>
      <c r="F31" t="e">
        <f>'30'!$U$14</f>
        <v>#DIV/0!</v>
      </c>
      <c r="G31" t="e">
        <f>'30'!$W$14</f>
        <v>#DIV/0!</v>
      </c>
      <c r="H31" t="e">
        <f t="shared" si="4"/>
        <v>#DIV/0!</v>
      </c>
      <c r="I31" t="e">
        <f t="shared" si="5"/>
        <v>#DIV/0!</v>
      </c>
      <c r="J31" t="e">
        <f>'30'!$U$3</f>
        <v>#DIV/0!</v>
      </c>
      <c r="K31" t="e">
        <f>'30'!$W$3</f>
        <v>#DIV/0!</v>
      </c>
      <c r="L31" t="e">
        <f>'30'!$U$7</f>
        <v>#DIV/0!</v>
      </c>
      <c r="M31" t="e">
        <f>'30'!$W$7</f>
        <v>#DIV/0!</v>
      </c>
      <c r="N31" t="e">
        <f>'30'!$U$8</f>
        <v>#DIV/0!</v>
      </c>
      <c r="O31" t="e">
        <f>'30'!$W$8</f>
        <v>#DIV/0!</v>
      </c>
      <c r="Q31">
        <f t="shared" si="6"/>
        <v>2018</v>
      </c>
    </row>
    <row r="32" spans="1:21" x14ac:dyDescent="0.25">
      <c r="N32">
        <v>0.5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2"/>
  <sheetViews>
    <sheetView workbookViewId="0">
      <selection activeCell="C18" sqref="C18"/>
    </sheetView>
  </sheetViews>
  <sheetFormatPr baseColWidth="10" defaultColWidth="9.140625" defaultRowHeight="15" x14ac:dyDescent="0.25"/>
  <cols>
    <col min="1" max="1" width="13.140625" bestFit="1" customWidth="1"/>
    <col min="2" max="2" width="10.28515625" customWidth="1"/>
    <col min="3" max="3" width="12.28515625" bestFit="1" customWidth="1"/>
    <col min="4" max="4" width="24.28515625" bestFit="1" customWidth="1"/>
    <col min="5" max="5" width="15.7109375" bestFit="1" customWidth="1"/>
    <col min="6" max="6" width="16.7109375" customWidth="1"/>
    <col min="7" max="7" width="16.7109375" bestFit="1" customWidth="1"/>
    <col min="8" max="8" width="2.28515625" style="27" customWidth="1"/>
    <col min="9" max="9" width="15.85546875" bestFit="1" customWidth="1"/>
    <col min="257" max="257" width="13.140625" bestFit="1" customWidth="1"/>
    <col min="258" max="258" width="10.28515625" customWidth="1"/>
    <col min="259" max="259" width="12.28515625" bestFit="1" customWidth="1"/>
    <col min="260" max="260" width="24.28515625" bestFit="1" customWidth="1"/>
    <col min="261" max="261" width="15.7109375" bestFit="1" customWidth="1"/>
    <col min="262" max="262" width="16.7109375" customWidth="1"/>
    <col min="263" max="263" width="16.7109375" bestFit="1" customWidth="1"/>
    <col min="264" max="264" width="2.28515625" customWidth="1"/>
    <col min="265" max="265" width="15.85546875" bestFit="1" customWidth="1"/>
    <col min="513" max="513" width="13.140625" bestFit="1" customWidth="1"/>
    <col min="514" max="514" width="10.28515625" customWidth="1"/>
    <col min="515" max="515" width="12.28515625" bestFit="1" customWidth="1"/>
    <col min="516" max="516" width="24.28515625" bestFit="1" customWidth="1"/>
    <col min="517" max="517" width="15.7109375" bestFit="1" customWidth="1"/>
    <col min="518" max="518" width="16.7109375" customWidth="1"/>
    <col min="519" max="519" width="16.7109375" bestFit="1" customWidth="1"/>
    <col min="520" max="520" width="2.28515625" customWidth="1"/>
    <col min="521" max="521" width="15.85546875" bestFit="1" customWidth="1"/>
    <col min="769" max="769" width="13.140625" bestFit="1" customWidth="1"/>
    <col min="770" max="770" width="10.28515625" customWidth="1"/>
    <col min="771" max="771" width="12.28515625" bestFit="1" customWidth="1"/>
    <col min="772" max="772" width="24.28515625" bestFit="1" customWidth="1"/>
    <col min="773" max="773" width="15.7109375" bestFit="1" customWidth="1"/>
    <col min="774" max="774" width="16.7109375" customWidth="1"/>
    <col min="775" max="775" width="16.7109375" bestFit="1" customWidth="1"/>
    <col min="776" max="776" width="2.28515625" customWidth="1"/>
    <col min="777" max="777" width="15.85546875" bestFit="1" customWidth="1"/>
    <col min="1025" max="1025" width="13.140625" bestFit="1" customWidth="1"/>
    <col min="1026" max="1026" width="10.28515625" customWidth="1"/>
    <col min="1027" max="1027" width="12.28515625" bestFit="1" customWidth="1"/>
    <col min="1028" max="1028" width="24.28515625" bestFit="1" customWidth="1"/>
    <col min="1029" max="1029" width="15.7109375" bestFit="1" customWidth="1"/>
    <col min="1030" max="1030" width="16.7109375" customWidth="1"/>
    <col min="1031" max="1031" width="16.7109375" bestFit="1" customWidth="1"/>
    <col min="1032" max="1032" width="2.28515625" customWidth="1"/>
    <col min="1033" max="1033" width="15.85546875" bestFit="1" customWidth="1"/>
    <col min="1281" max="1281" width="13.140625" bestFit="1" customWidth="1"/>
    <col min="1282" max="1282" width="10.28515625" customWidth="1"/>
    <col min="1283" max="1283" width="12.28515625" bestFit="1" customWidth="1"/>
    <col min="1284" max="1284" width="24.28515625" bestFit="1" customWidth="1"/>
    <col min="1285" max="1285" width="15.7109375" bestFit="1" customWidth="1"/>
    <col min="1286" max="1286" width="16.7109375" customWidth="1"/>
    <col min="1287" max="1287" width="16.7109375" bestFit="1" customWidth="1"/>
    <col min="1288" max="1288" width="2.28515625" customWidth="1"/>
    <col min="1289" max="1289" width="15.85546875" bestFit="1" customWidth="1"/>
    <col min="1537" max="1537" width="13.140625" bestFit="1" customWidth="1"/>
    <col min="1538" max="1538" width="10.28515625" customWidth="1"/>
    <col min="1539" max="1539" width="12.28515625" bestFit="1" customWidth="1"/>
    <col min="1540" max="1540" width="24.28515625" bestFit="1" customWidth="1"/>
    <col min="1541" max="1541" width="15.7109375" bestFit="1" customWidth="1"/>
    <col min="1542" max="1542" width="16.7109375" customWidth="1"/>
    <col min="1543" max="1543" width="16.7109375" bestFit="1" customWidth="1"/>
    <col min="1544" max="1544" width="2.28515625" customWidth="1"/>
    <col min="1545" max="1545" width="15.85546875" bestFit="1" customWidth="1"/>
    <col min="1793" max="1793" width="13.140625" bestFit="1" customWidth="1"/>
    <col min="1794" max="1794" width="10.28515625" customWidth="1"/>
    <col min="1795" max="1795" width="12.28515625" bestFit="1" customWidth="1"/>
    <col min="1796" max="1796" width="24.28515625" bestFit="1" customWidth="1"/>
    <col min="1797" max="1797" width="15.7109375" bestFit="1" customWidth="1"/>
    <col min="1798" max="1798" width="16.7109375" customWidth="1"/>
    <col min="1799" max="1799" width="16.7109375" bestFit="1" customWidth="1"/>
    <col min="1800" max="1800" width="2.28515625" customWidth="1"/>
    <col min="1801" max="1801" width="15.85546875" bestFit="1" customWidth="1"/>
    <col min="2049" max="2049" width="13.140625" bestFit="1" customWidth="1"/>
    <col min="2050" max="2050" width="10.28515625" customWidth="1"/>
    <col min="2051" max="2051" width="12.28515625" bestFit="1" customWidth="1"/>
    <col min="2052" max="2052" width="24.28515625" bestFit="1" customWidth="1"/>
    <col min="2053" max="2053" width="15.7109375" bestFit="1" customWidth="1"/>
    <col min="2054" max="2054" width="16.7109375" customWidth="1"/>
    <col min="2055" max="2055" width="16.7109375" bestFit="1" customWidth="1"/>
    <col min="2056" max="2056" width="2.28515625" customWidth="1"/>
    <col min="2057" max="2057" width="15.85546875" bestFit="1" customWidth="1"/>
    <col min="2305" max="2305" width="13.140625" bestFit="1" customWidth="1"/>
    <col min="2306" max="2306" width="10.28515625" customWidth="1"/>
    <col min="2307" max="2307" width="12.28515625" bestFit="1" customWidth="1"/>
    <col min="2308" max="2308" width="24.28515625" bestFit="1" customWidth="1"/>
    <col min="2309" max="2309" width="15.7109375" bestFit="1" customWidth="1"/>
    <col min="2310" max="2310" width="16.7109375" customWidth="1"/>
    <col min="2311" max="2311" width="16.7109375" bestFit="1" customWidth="1"/>
    <col min="2312" max="2312" width="2.28515625" customWidth="1"/>
    <col min="2313" max="2313" width="15.85546875" bestFit="1" customWidth="1"/>
    <col min="2561" max="2561" width="13.140625" bestFit="1" customWidth="1"/>
    <col min="2562" max="2562" width="10.28515625" customWidth="1"/>
    <col min="2563" max="2563" width="12.28515625" bestFit="1" customWidth="1"/>
    <col min="2564" max="2564" width="24.28515625" bestFit="1" customWidth="1"/>
    <col min="2565" max="2565" width="15.7109375" bestFit="1" customWidth="1"/>
    <col min="2566" max="2566" width="16.7109375" customWidth="1"/>
    <col min="2567" max="2567" width="16.7109375" bestFit="1" customWidth="1"/>
    <col min="2568" max="2568" width="2.28515625" customWidth="1"/>
    <col min="2569" max="2569" width="15.85546875" bestFit="1" customWidth="1"/>
    <col min="2817" max="2817" width="13.140625" bestFit="1" customWidth="1"/>
    <col min="2818" max="2818" width="10.28515625" customWidth="1"/>
    <col min="2819" max="2819" width="12.28515625" bestFit="1" customWidth="1"/>
    <col min="2820" max="2820" width="24.28515625" bestFit="1" customWidth="1"/>
    <col min="2821" max="2821" width="15.7109375" bestFit="1" customWidth="1"/>
    <col min="2822" max="2822" width="16.7109375" customWidth="1"/>
    <col min="2823" max="2823" width="16.7109375" bestFit="1" customWidth="1"/>
    <col min="2824" max="2824" width="2.28515625" customWidth="1"/>
    <col min="2825" max="2825" width="15.85546875" bestFit="1" customWidth="1"/>
    <col min="3073" max="3073" width="13.140625" bestFit="1" customWidth="1"/>
    <col min="3074" max="3074" width="10.28515625" customWidth="1"/>
    <col min="3075" max="3075" width="12.28515625" bestFit="1" customWidth="1"/>
    <col min="3076" max="3076" width="24.28515625" bestFit="1" customWidth="1"/>
    <col min="3077" max="3077" width="15.7109375" bestFit="1" customWidth="1"/>
    <col min="3078" max="3078" width="16.7109375" customWidth="1"/>
    <col min="3079" max="3079" width="16.7109375" bestFit="1" customWidth="1"/>
    <col min="3080" max="3080" width="2.28515625" customWidth="1"/>
    <col min="3081" max="3081" width="15.85546875" bestFit="1" customWidth="1"/>
    <col min="3329" max="3329" width="13.140625" bestFit="1" customWidth="1"/>
    <col min="3330" max="3330" width="10.28515625" customWidth="1"/>
    <col min="3331" max="3331" width="12.28515625" bestFit="1" customWidth="1"/>
    <col min="3332" max="3332" width="24.28515625" bestFit="1" customWidth="1"/>
    <col min="3333" max="3333" width="15.7109375" bestFit="1" customWidth="1"/>
    <col min="3334" max="3334" width="16.7109375" customWidth="1"/>
    <col min="3335" max="3335" width="16.7109375" bestFit="1" customWidth="1"/>
    <col min="3336" max="3336" width="2.28515625" customWidth="1"/>
    <col min="3337" max="3337" width="15.85546875" bestFit="1" customWidth="1"/>
    <col min="3585" max="3585" width="13.140625" bestFit="1" customWidth="1"/>
    <col min="3586" max="3586" width="10.28515625" customWidth="1"/>
    <col min="3587" max="3587" width="12.28515625" bestFit="1" customWidth="1"/>
    <col min="3588" max="3588" width="24.28515625" bestFit="1" customWidth="1"/>
    <col min="3589" max="3589" width="15.7109375" bestFit="1" customWidth="1"/>
    <col min="3590" max="3590" width="16.7109375" customWidth="1"/>
    <col min="3591" max="3591" width="16.7109375" bestFit="1" customWidth="1"/>
    <col min="3592" max="3592" width="2.28515625" customWidth="1"/>
    <col min="3593" max="3593" width="15.85546875" bestFit="1" customWidth="1"/>
    <col min="3841" max="3841" width="13.140625" bestFit="1" customWidth="1"/>
    <col min="3842" max="3842" width="10.28515625" customWidth="1"/>
    <col min="3843" max="3843" width="12.28515625" bestFit="1" customWidth="1"/>
    <col min="3844" max="3844" width="24.28515625" bestFit="1" customWidth="1"/>
    <col min="3845" max="3845" width="15.7109375" bestFit="1" customWidth="1"/>
    <col min="3846" max="3846" width="16.7109375" customWidth="1"/>
    <col min="3847" max="3847" width="16.7109375" bestFit="1" customWidth="1"/>
    <col min="3848" max="3848" width="2.28515625" customWidth="1"/>
    <col min="3849" max="3849" width="15.85546875" bestFit="1" customWidth="1"/>
    <col min="4097" max="4097" width="13.140625" bestFit="1" customWidth="1"/>
    <col min="4098" max="4098" width="10.28515625" customWidth="1"/>
    <col min="4099" max="4099" width="12.28515625" bestFit="1" customWidth="1"/>
    <col min="4100" max="4100" width="24.28515625" bestFit="1" customWidth="1"/>
    <col min="4101" max="4101" width="15.7109375" bestFit="1" customWidth="1"/>
    <col min="4102" max="4102" width="16.7109375" customWidth="1"/>
    <col min="4103" max="4103" width="16.7109375" bestFit="1" customWidth="1"/>
    <col min="4104" max="4104" width="2.28515625" customWidth="1"/>
    <col min="4105" max="4105" width="15.85546875" bestFit="1" customWidth="1"/>
    <col min="4353" max="4353" width="13.140625" bestFit="1" customWidth="1"/>
    <col min="4354" max="4354" width="10.28515625" customWidth="1"/>
    <col min="4355" max="4355" width="12.28515625" bestFit="1" customWidth="1"/>
    <col min="4356" max="4356" width="24.28515625" bestFit="1" customWidth="1"/>
    <col min="4357" max="4357" width="15.7109375" bestFit="1" customWidth="1"/>
    <col min="4358" max="4358" width="16.7109375" customWidth="1"/>
    <col min="4359" max="4359" width="16.7109375" bestFit="1" customWidth="1"/>
    <col min="4360" max="4360" width="2.28515625" customWidth="1"/>
    <col min="4361" max="4361" width="15.85546875" bestFit="1" customWidth="1"/>
    <col min="4609" max="4609" width="13.140625" bestFit="1" customWidth="1"/>
    <col min="4610" max="4610" width="10.28515625" customWidth="1"/>
    <col min="4611" max="4611" width="12.28515625" bestFit="1" customWidth="1"/>
    <col min="4612" max="4612" width="24.28515625" bestFit="1" customWidth="1"/>
    <col min="4613" max="4613" width="15.7109375" bestFit="1" customWidth="1"/>
    <col min="4614" max="4614" width="16.7109375" customWidth="1"/>
    <col min="4615" max="4615" width="16.7109375" bestFit="1" customWidth="1"/>
    <col min="4616" max="4616" width="2.28515625" customWidth="1"/>
    <col min="4617" max="4617" width="15.85546875" bestFit="1" customWidth="1"/>
    <col min="4865" max="4865" width="13.140625" bestFit="1" customWidth="1"/>
    <col min="4866" max="4866" width="10.28515625" customWidth="1"/>
    <col min="4867" max="4867" width="12.28515625" bestFit="1" customWidth="1"/>
    <col min="4868" max="4868" width="24.28515625" bestFit="1" customWidth="1"/>
    <col min="4869" max="4869" width="15.7109375" bestFit="1" customWidth="1"/>
    <col min="4870" max="4870" width="16.7109375" customWidth="1"/>
    <col min="4871" max="4871" width="16.7109375" bestFit="1" customWidth="1"/>
    <col min="4872" max="4872" width="2.28515625" customWidth="1"/>
    <col min="4873" max="4873" width="15.85546875" bestFit="1" customWidth="1"/>
    <col min="5121" max="5121" width="13.140625" bestFit="1" customWidth="1"/>
    <col min="5122" max="5122" width="10.28515625" customWidth="1"/>
    <col min="5123" max="5123" width="12.28515625" bestFit="1" customWidth="1"/>
    <col min="5124" max="5124" width="24.28515625" bestFit="1" customWidth="1"/>
    <col min="5125" max="5125" width="15.7109375" bestFit="1" customWidth="1"/>
    <col min="5126" max="5126" width="16.7109375" customWidth="1"/>
    <col min="5127" max="5127" width="16.7109375" bestFit="1" customWidth="1"/>
    <col min="5128" max="5128" width="2.28515625" customWidth="1"/>
    <col min="5129" max="5129" width="15.85546875" bestFit="1" customWidth="1"/>
    <col min="5377" max="5377" width="13.140625" bestFit="1" customWidth="1"/>
    <col min="5378" max="5378" width="10.28515625" customWidth="1"/>
    <col min="5379" max="5379" width="12.28515625" bestFit="1" customWidth="1"/>
    <col min="5380" max="5380" width="24.28515625" bestFit="1" customWidth="1"/>
    <col min="5381" max="5381" width="15.7109375" bestFit="1" customWidth="1"/>
    <col min="5382" max="5382" width="16.7109375" customWidth="1"/>
    <col min="5383" max="5383" width="16.7109375" bestFit="1" customWidth="1"/>
    <col min="5384" max="5384" width="2.28515625" customWidth="1"/>
    <col min="5385" max="5385" width="15.85546875" bestFit="1" customWidth="1"/>
    <col min="5633" max="5633" width="13.140625" bestFit="1" customWidth="1"/>
    <col min="5634" max="5634" width="10.28515625" customWidth="1"/>
    <col min="5635" max="5635" width="12.28515625" bestFit="1" customWidth="1"/>
    <col min="5636" max="5636" width="24.28515625" bestFit="1" customWidth="1"/>
    <col min="5637" max="5637" width="15.7109375" bestFit="1" customWidth="1"/>
    <col min="5638" max="5638" width="16.7109375" customWidth="1"/>
    <col min="5639" max="5639" width="16.7109375" bestFit="1" customWidth="1"/>
    <col min="5640" max="5640" width="2.28515625" customWidth="1"/>
    <col min="5641" max="5641" width="15.85546875" bestFit="1" customWidth="1"/>
    <col min="5889" max="5889" width="13.140625" bestFit="1" customWidth="1"/>
    <col min="5890" max="5890" width="10.28515625" customWidth="1"/>
    <col min="5891" max="5891" width="12.28515625" bestFit="1" customWidth="1"/>
    <col min="5892" max="5892" width="24.28515625" bestFit="1" customWidth="1"/>
    <col min="5893" max="5893" width="15.7109375" bestFit="1" customWidth="1"/>
    <col min="5894" max="5894" width="16.7109375" customWidth="1"/>
    <col min="5895" max="5895" width="16.7109375" bestFit="1" customWidth="1"/>
    <col min="5896" max="5896" width="2.28515625" customWidth="1"/>
    <col min="5897" max="5897" width="15.85546875" bestFit="1" customWidth="1"/>
    <col min="6145" max="6145" width="13.140625" bestFit="1" customWidth="1"/>
    <col min="6146" max="6146" width="10.28515625" customWidth="1"/>
    <col min="6147" max="6147" width="12.28515625" bestFit="1" customWidth="1"/>
    <col min="6148" max="6148" width="24.28515625" bestFit="1" customWidth="1"/>
    <col min="6149" max="6149" width="15.7109375" bestFit="1" customWidth="1"/>
    <col min="6150" max="6150" width="16.7109375" customWidth="1"/>
    <col min="6151" max="6151" width="16.7109375" bestFit="1" customWidth="1"/>
    <col min="6152" max="6152" width="2.28515625" customWidth="1"/>
    <col min="6153" max="6153" width="15.85546875" bestFit="1" customWidth="1"/>
    <col min="6401" max="6401" width="13.140625" bestFit="1" customWidth="1"/>
    <col min="6402" max="6402" width="10.28515625" customWidth="1"/>
    <col min="6403" max="6403" width="12.28515625" bestFit="1" customWidth="1"/>
    <col min="6404" max="6404" width="24.28515625" bestFit="1" customWidth="1"/>
    <col min="6405" max="6405" width="15.7109375" bestFit="1" customWidth="1"/>
    <col min="6406" max="6406" width="16.7109375" customWidth="1"/>
    <col min="6407" max="6407" width="16.7109375" bestFit="1" customWidth="1"/>
    <col min="6408" max="6408" width="2.28515625" customWidth="1"/>
    <col min="6409" max="6409" width="15.85546875" bestFit="1" customWidth="1"/>
    <col min="6657" max="6657" width="13.140625" bestFit="1" customWidth="1"/>
    <col min="6658" max="6658" width="10.28515625" customWidth="1"/>
    <col min="6659" max="6659" width="12.28515625" bestFit="1" customWidth="1"/>
    <col min="6660" max="6660" width="24.28515625" bestFit="1" customWidth="1"/>
    <col min="6661" max="6661" width="15.7109375" bestFit="1" customWidth="1"/>
    <col min="6662" max="6662" width="16.7109375" customWidth="1"/>
    <col min="6663" max="6663" width="16.7109375" bestFit="1" customWidth="1"/>
    <col min="6664" max="6664" width="2.28515625" customWidth="1"/>
    <col min="6665" max="6665" width="15.85546875" bestFit="1" customWidth="1"/>
    <col min="6913" max="6913" width="13.140625" bestFit="1" customWidth="1"/>
    <col min="6914" max="6914" width="10.28515625" customWidth="1"/>
    <col min="6915" max="6915" width="12.28515625" bestFit="1" customWidth="1"/>
    <col min="6916" max="6916" width="24.28515625" bestFit="1" customWidth="1"/>
    <col min="6917" max="6917" width="15.7109375" bestFit="1" customWidth="1"/>
    <col min="6918" max="6918" width="16.7109375" customWidth="1"/>
    <col min="6919" max="6919" width="16.7109375" bestFit="1" customWidth="1"/>
    <col min="6920" max="6920" width="2.28515625" customWidth="1"/>
    <col min="6921" max="6921" width="15.85546875" bestFit="1" customWidth="1"/>
    <col min="7169" max="7169" width="13.140625" bestFit="1" customWidth="1"/>
    <col min="7170" max="7170" width="10.28515625" customWidth="1"/>
    <col min="7171" max="7171" width="12.28515625" bestFit="1" customWidth="1"/>
    <col min="7172" max="7172" width="24.28515625" bestFit="1" customWidth="1"/>
    <col min="7173" max="7173" width="15.7109375" bestFit="1" customWidth="1"/>
    <col min="7174" max="7174" width="16.7109375" customWidth="1"/>
    <col min="7175" max="7175" width="16.7109375" bestFit="1" customWidth="1"/>
    <col min="7176" max="7176" width="2.28515625" customWidth="1"/>
    <col min="7177" max="7177" width="15.85546875" bestFit="1" customWidth="1"/>
    <col min="7425" max="7425" width="13.140625" bestFit="1" customWidth="1"/>
    <col min="7426" max="7426" width="10.28515625" customWidth="1"/>
    <col min="7427" max="7427" width="12.28515625" bestFit="1" customWidth="1"/>
    <col min="7428" max="7428" width="24.28515625" bestFit="1" customWidth="1"/>
    <col min="7429" max="7429" width="15.7109375" bestFit="1" customWidth="1"/>
    <col min="7430" max="7430" width="16.7109375" customWidth="1"/>
    <col min="7431" max="7431" width="16.7109375" bestFit="1" customWidth="1"/>
    <col min="7432" max="7432" width="2.28515625" customWidth="1"/>
    <col min="7433" max="7433" width="15.85546875" bestFit="1" customWidth="1"/>
    <col min="7681" max="7681" width="13.140625" bestFit="1" customWidth="1"/>
    <col min="7682" max="7682" width="10.28515625" customWidth="1"/>
    <col min="7683" max="7683" width="12.28515625" bestFit="1" customWidth="1"/>
    <col min="7684" max="7684" width="24.28515625" bestFit="1" customWidth="1"/>
    <col min="7685" max="7685" width="15.7109375" bestFit="1" customWidth="1"/>
    <col min="7686" max="7686" width="16.7109375" customWidth="1"/>
    <col min="7687" max="7687" width="16.7109375" bestFit="1" customWidth="1"/>
    <col min="7688" max="7688" width="2.28515625" customWidth="1"/>
    <col min="7689" max="7689" width="15.85546875" bestFit="1" customWidth="1"/>
    <col min="7937" max="7937" width="13.140625" bestFit="1" customWidth="1"/>
    <col min="7938" max="7938" width="10.28515625" customWidth="1"/>
    <col min="7939" max="7939" width="12.28515625" bestFit="1" customWidth="1"/>
    <col min="7940" max="7940" width="24.28515625" bestFit="1" customWidth="1"/>
    <col min="7941" max="7941" width="15.7109375" bestFit="1" customWidth="1"/>
    <col min="7942" max="7942" width="16.7109375" customWidth="1"/>
    <col min="7943" max="7943" width="16.7109375" bestFit="1" customWidth="1"/>
    <col min="7944" max="7944" width="2.28515625" customWidth="1"/>
    <col min="7945" max="7945" width="15.85546875" bestFit="1" customWidth="1"/>
    <col min="8193" max="8193" width="13.140625" bestFit="1" customWidth="1"/>
    <col min="8194" max="8194" width="10.28515625" customWidth="1"/>
    <col min="8195" max="8195" width="12.28515625" bestFit="1" customWidth="1"/>
    <col min="8196" max="8196" width="24.28515625" bestFit="1" customWidth="1"/>
    <col min="8197" max="8197" width="15.7109375" bestFit="1" customWidth="1"/>
    <col min="8198" max="8198" width="16.7109375" customWidth="1"/>
    <col min="8199" max="8199" width="16.7109375" bestFit="1" customWidth="1"/>
    <col min="8200" max="8200" width="2.28515625" customWidth="1"/>
    <col min="8201" max="8201" width="15.85546875" bestFit="1" customWidth="1"/>
    <col min="8449" max="8449" width="13.140625" bestFit="1" customWidth="1"/>
    <col min="8450" max="8450" width="10.28515625" customWidth="1"/>
    <col min="8451" max="8451" width="12.28515625" bestFit="1" customWidth="1"/>
    <col min="8452" max="8452" width="24.28515625" bestFit="1" customWidth="1"/>
    <col min="8453" max="8453" width="15.7109375" bestFit="1" customWidth="1"/>
    <col min="8454" max="8454" width="16.7109375" customWidth="1"/>
    <col min="8455" max="8455" width="16.7109375" bestFit="1" customWidth="1"/>
    <col min="8456" max="8456" width="2.28515625" customWidth="1"/>
    <col min="8457" max="8457" width="15.85546875" bestFit="1" customWidth="1"/>
    <col min="8705" max="8705" width="13.140625" bestFit="1" customWidth="1"/>
    <col min="8706" max="8706" width="10.28515625" customWidth="1"/>
    <col min="8707" max="8707" width="12.28515625" bestFit="1" customWidth="1"/>
    <col min="8708" max="8708" width="24.28515625" bestFit="1" customWidth="1"/>
    <col min="8709" max="8709" width="15.7109375" bestFit="1" customWidth="1"/>
    <col min="8710" max="8710" width="16.7109375" customWidth="1"/>
    <col min="8711" max="8711" width="16.7109375" bestFit="1" customWidth="1"/>
    <col min="8712" max="8712" width="2.28515625" customWidth="1"/>
    <col min="8713" max="8713" width="15.85546875" bestFit="1" customWidth="1"/>
    <col min="8961" max="8961" width="13.140625" bestFit="1" customWidth="1"/>
    <col min="8962" max="8962" width="10.28515625" customWidth="1"/>
    <col min="8963" max="8963" width="12.28515625" bestFit="1" customWidth="1"/>
    <col min="8964" max="8964" width="24.28515625" bestFit="1" customWidth="1"/>
    <col min="8965" max="8965" width="15.7109375" bestFit="1" customWidth="1"/>
    <col min="8966" max="8966" width="16.7109375" customWidth="1"/>
    <col min="8967" max="8967" width="16.7109375" bestFit="1" customWidth="1"/>
    <col min="8968" max="8968" width="2.28515625" customWidth="1"/>
    <col min="8969" max="8969" width="15.85546875" bestFit="1" customWidth="1"/>
    <col min="9217" max="9217" width="13.140625" bestFit="1" customWidth="1"/>
    <col min="9218" max="9218" width="10.28515625" customWidth="1"/>
    <col min="9219" max="9219" width="12.28515625" bestFit="1" customWidth="1"/>
    <col min="9220" max="9220" width="24.28515625" bestFit="1" customWidth="1"/>
    <col min="9221" max="9221" width="15.7109375" bestFit="1" customWidth="1"/>
    <col min="9222" max="9222" width="16.7109375" customWidth="1"/>
    <col min="9223" max="9223" width="16.7109375" bestFit="1" customWidth="1"/>
    <col min="9224" max="9224" width="2.28515625" customWidth="1"/>
    <col min="9225" max="9225" width="15.85546875" bestFit="1" customWidth="1"/>
    <col min="9473" max="9473" width="13.140625" bestFit="1" customWidth="1"/>
    <col min="9474" max="9474" width="10.28515625" customWidth="1"/>
    <col min="9475" max="9475" width="12.28515625" bestFit="1" customWidth="1"/>
    <col min="9476" max="9476" width="24.28515625" bestFit="1" customWidth="1"/>
    <col min="9477" max="9477" width="15.7109375" bestFit="1" customWidth="1"/>
    <col min="9478" max="9478" width="16.7109375" customWidth="1"/>
    <col min="9479" max="9479" width="16.7109375" bestFit="1" customWidth="1"/>
    <col min="9480" max="9480" width="2.28515625" customWidth="1"/>
    <col min="9481" max="9481" width="15.85546875" bestFit="1" customWidth="1"/>
    <col min="9729" max="9729" width="13.140625" bestFit="1" customWidth="1"/>
    <col min="9730" max="9730" width="10.28515625" customWidth="1"/>
    <col min="9731" max="9731" width="12.28515625" bestFit="1" customWidth="1"/>
    <col min="9732" max="9732" width="24.28515625" bestFit="1" customWidth="1"/>
    <col min="9733" max="9733" width="15.7109375" bestFit="1" customWidth="1"/>
    <col min="9734" max="9734" width="16.7109375" customWidth="1"/>
    <col min="9735" max="9735" width="16.7109375" bestFit="1" customWidth="1"/>
    <col min="9736" max="9736" width="2.28515625" customWidth="1"/>
    <col min="9737" max="9737" width="15.85546875" bestFit="1" customWidth="1"/>
    <col min="9985" max="9985" width="13.140625" bestFit="1" customWidth="1"/>
    <col min="9986" max="9986" width="10.28515625" customWidth="1"/>
    <col min="9987" max="9987" width="12.28515625" bestFit="1" customWidth="1"/>
    <col min="9988" max="9988" width="24.28515625" bestFit="1" customWidth="1"/>
    <col min="9989" max="9989" width="15.7109375" bestFit="1" customWidth="1"/>
    <col min="9990" max="9990" width="16.7109375" customWidth="1"/>
    <col min="9991" max="9991" width="16.7109375" bestFit="1" customWidth="1"/>
    <col min="9992" max="9992" width="2.28515625" customWidth="1"/>
    <col min="9993" max="9993" width="15.85546875" bestFit="1" customWidth="1"/>
    <col min="10241" max="10241" width="13.140625" bestFit="1" customWidth="1"/>
    <col min="10242" max="10242" width="10.28515625" customWidth="1"/>
    <col min="10243" max="10243" width="12.28515625" bestFit="1" customWidth="1"/>
    <col min="10244" max="10244" width="24.28515625" bestFit="1" customWidth="1"/>
    <col min="10245" max="10245" width="15.7109375" bestFit="1" customWidth="1"/>
    <col min="10246" max="10246" width="16.7109375" customWidth="1"/>
    <col min="10247" max="10247" width="16.7109375" bestFit="1" customWidth="1"/>
    <col min="10248" max="10248" width="2.28515625" customWidth="1"/>
    <col min="10249" max="10249" width="15.85546875" bestFit="1" customWidth="1"/>
    <col min="10497" max="10497" width="13.140625" bestFit="1" customWidth="1"/>
    <col min="10498" max="10498" width="10.28515625" customWidth="1"/>
    <col min="10499" max="10499" width="12.28515625" bestFit="1" customWidth="1"/>
    <col min="10500" max="10500" width="24.28515625" bestFit="1" customWidth="1"/>
    <col min="10501" max="10501" width="15.7109375" bestFit="1" customWidth="1"/>
    <col min="10502" max="10502" width="16.7109375" customWidth="1"/>
    <col min="10503" max="10503" width="16.7109375" bestFit="1" customWidth="1"/>
    <col min="10504" max="10504" width="2.28515625" customWidth="1"/>
    <col min="10505" max="10505" width="15.85546875" bestFit="1" customWidth="1"/>
    <col min="10753" max="10753" width="13.140625" bestFit="1" customWidth="1"/>
    <col min="10754" max="10754" width="10.28515625" customWidth="1"/>
    <col min="10755" max="10755" width="12.28515625" bestFit="1" customWidth="1"/>
    <col min="10756" max="10756" width="24.28515625" bestFit="1" customWidth="1"/>
    <col min="10757" max="10757" width="15.7109375" bestFit="1" customWidth="1"/>
    <col min="10758" max="10758" width="16.7109375" customWidth="1"/>
    <col min="10759" max="10759" width="16.7109375" bestFit="1" customWidth="1"/>
    <col min="10760" max="10760" width="2.28515625" customWidth="1"/>
    <col min="10761" max="10761" width="15.85546875" bestFit="1" customWidth="1"/>
    <col min="11009" max="11009" width="13.140625" bestFit="1" customWidth="1"/>
    <col min="11010" max="11010" width="10.28515625" customWidth="1"/>
    <col min="11011" max="11011" width="12.28515625" bestFit="1" customWidth="1"/>
    <col min="11012" max="11012" width="24.28515625" bestFit="1" customWidth="1"/>
    <col min="11013" max="11013" width="15.7109375" bestFit="1" customWidth="1"/>
    <col min="11014" max="11014" width="16.7109375" customWidth="1"/>
    <col min="11015" max="11015" width="16.7109375" bestFit="1" customWidth="1"/>
    <col min="11016" max="11016" width="2.28515625" customWidth="1"/>
    <col min="11017" max="11017" width="15.85546875" bestFit="1" customWidth="1"/>
    <col min="11265" max="11265" width="13.140625" bestFit="1" customWidth="1"/>
    <col min="11266" max="11266" width="10.28515625" customWidth="1"/>
    <col min="11267" max="11267" width="12.28515625" bestFit="1" customWidth="1"/>
    <col min="11268" max="11268" width="24.28515625" bestFit="1" customWidth="1"/>
    <col min="11269" max="11269" width="15.7109375" bestFit="1" customWidth="1"/>
    <col min="11270" max="11270" width="16.7109375" customWidth="1"/>
    <col min="11271" max="11271" width="16.7109375" bestFit="1" customWidth="1"/>
    <col min="11272" max="11272" width="2.28515625" customWidth="1"/>
    <col min="11273" max="11273" width="15.85546875" bestFit="1" customWidth="1"/>
    <col min="11521" max="11521" width="13.140625" bestFit="1" customWidth="1"/>
    <col min="11522" max="11522" width="10.28515625" customWidth="1"/>
    <col min="11523" max="11523" width="12.28515625" bestFit="1" customWidth="1"/>
    <col min="11524" max="11524" width="24.28515625" bestFit="1" customWidth="1"/>
    <col min="11525" max="11525" width="15.7109375" bestFit="1" customWidth="1"/>
    <col min="11526" max="11526" width="16.7109375" customWidth="1"/>
    <col min="11527" max="11527" width="16.7109375" bestFit="1" customWidth="1"/>
    <col min="11528" max="11528" width="2.28515625" customWidth="1"/>
    <col min="11529" max="11529" width="15.85546875" bestFit="1" customWidth="1"/>
    <col min="11777" max="11777" width="13.140625" bestFit="1" customWidth="1"/>
    <col min="11778" max="11778" width="10.28515625" customWidth="1"/>
    <col min="11779" max="11779" width="12.28515625" bestFit="1" customWidth="1"/>
    <col min="11780" max="11780" width="24.28515625" bestFit="1" customWidth="1"/>
    <col min="11781" max="11781" width="15.7109375" bestFit="1" customWidth="1"/>
    <col min="11782" max="11782" width="16.7109375" customWidth="1"/>
    <col min="11783" max="11783" width="16.7109375" bestFit="1" customWidth="1"/>
    <col min="11784" max="11784" width="2.28515625" customWidth="1"/>
    <col min="11785" max="11785" width="15.85546875" bestFit="1" customWidth="1"/>
    <col min="12033" max="12033" width="13.140625" bestFit="1" customWidth="1"/>
    <col min="12034" max="12034" width="10.28515625" customWidth="1"/>
    <col min="12035" max="12035" width="12.28515625" bestFit="1" customWidth="1"/>
    <col min="12036" max="12036" width="24.28515625" bestFit="1" customWidth="1"/>
    <col min="12037" max="12037" width="15.7109375" bestFit="1" customWidth="1"/>
    <col min="12038" max="12038" width="16.7109375" customWidth="1"/>
    <col min="12039" max="12039" width="16.7109375" bestFit="1" customWidth="1"/>
    <col min="12040" max="12040" width="2.28515625" customWidth="1"/>
    <col min="12041" max="12041" width="15.85546875" bestFit="1" customWidth="1"/>
    <col min="12289" max="12289" width="13.140625" bestFit="1" customWidth="1"/>
    <col min="12290" max="12290" width="10.28515625" customWidth="1"/>
    <col min="12291" max="12291" width="12.28515625" bestFit="1" customWidth="1"/>
    <col min="12292" max="12292" width="24.28515625" bestFit="1" customWidth="1"/>
    <col min="12293" max="12293" width="15.7109375" bestFit="1" customWidth="1"/>
    <col min="12294" max="12294" width="16.7109375" customWidth="1"/>
    <col min="12295" max="12295" width="16.7109375" bestFit="1" customWidth="1"/>
    <col min="12296" max="12296" width="2.28515625" customWidth="1"/>
    <col min="12297" max="12297" width="15.85546875" bestFit="1" customWidth="1"/>
    <col min="12545" max="12545" width="13.140625" bestFit="1" customWidth="1"/>
    <col min="12546" max="12546" width="10.28515625" customWidth="1"/>
    <col min="12547" max="12547" width="12.28515625" bestFit="1" customWidth="1"/>
    <col min="12548" max="12548" width="24.28515625" bestFit="1" customWidth="1"/>
    <col min="12549" max="12549" width="15.7109375" bestFit="1" customWidth="1"/>
    <col min="12550" max="12550" width="16.7109375" customWidth="1"/>
    <col min="12551" max="12551" width="16.7109375" bestFit="1" customWidth="1"/>
    <col min="12552" max="12552" width="2.28515625" customWidth="1"/>
    <col min="12553" max="12553" width="15.85546875" bestFit="1" customWidth="1"/>
    <col min="12801" max="12801" width="13.140625" bestFit="1" customWidth="1"/>
    <col min="12802" max="12802" width="10.28515625" customWidth="1"/>
    <col min="12803" max="12803" width="12.28515625" bestFit="1" customWidth="1"/>
    <col min="12804" max="12804" width="24.28515625" bestFit="1" customWidth="1"/>
    <col min="12805" max="12805" width="15.7109375" bestFit="1" customWidth="1"/>
    <col min="12806" max="12806" width="16.7109375" customWidth="1"/>
    <col min="12807" max="12807" width="16.7109375" bestFit="1" customWidth="1"/>
    <col min="12808" max="12808" width="2.28515625" customWidth="1"/>
    <col min="12809" max="12809" width="15.85546875" bestFit="1" customWidth="1"/>
    <col min="13057" max="13057" width="13.140625" bestFit="1" customWidth="1"/>
    <col min="13058" max="13058" width="10.28515625" customWidth="1"/>
    <col min="13059" max="13059" width="12.28515625" bestFit="1" customWidth="1"/>
    <col min="13060" max="13060" width="24.28515625" bestFit="1" customWidth="1"/>
    <col min="13061" max="13061" width="15.7109375" bestFit="1" customWidth="1"/>
    <col min="13062" max="13062" width="16.7109375" customWidth="1"/>
    <col min="13063" max="13063" width="16.7109375" bestFit="1" customWidth="1"/>
    <col min="13064" max="13064" width="2.28515625" customWidth="1"/>
    <col min="13065" max="13065" width="15.85546875" bestFit="1" customWidth="1"/>
    <col min="13313" max="13313" width="13.140625" bestFit="1" customWidth="1"/>
    <col min="13314" max="13314" width="10.28515625" customWidth="1"/>
    <col min="13315" max="13315" width="12.28515625" bestFit="1" customWidth="1"/>
    <col min="13316" max="13316" width="24.28515625" bestFit="1" customWidth="1"/>
    <col min="13317" max="13317" width="15.7109375" bestFit="1" customWidth="1"/>
    <col min="13318" max="13318" width="16.7109375" customWidth="1"/>
    <col min="13319" max="13319" width="16.7109375" bestFit="1" customWidth="1"/>
    <col min="13320" max="13320" width="2.28515625" customWidth="1"/>
    <col min="13321" max="13321" width="15.85546875" bestFit="1" customWidth="1"/>
    <col min="13569" max="13569" width="13.140625" bestFit="1" customWidth="1"/>
    <col min="13570" max="13570" width="10.28515625" customWidth="1"/>
    <col min="13571" max="13571" width="12.28515625" bestFit="1" customWidth="1"/>
    <col min="13572" max="13572" width="24.28515625" bestFit="1" customWidth="1"/>
    <col min="13573" max="13573" width="15.7109375" bestFit="1" customWidth="1"/>
    <col min="13574" max="13574" width="16.7109375" customWidth="1"/>
    <col min="13575" max="13575" width="16.7109375" bestFit="1" customWidth="1"/>
    <col min="13576" max="13576" width="2.28515625" customWidth="1"/>
    <col min="13577" max="13577" width="15.85546875" bestFit="1" customWidth="1"/>
    <col min="13825" max="13825" width="13.140625" bestFit="1" customWidth="1"/>
    <col min="13826" max="13826" width="10.28515625" customWidth="1"/>
    <col min="13827" max="13827" width="12.28515625" bestFit="1" customWidth="1"/>
    <col min="13828" max="13828" width="24.28515625" bestFit="1" customWidth="1"/>
    <col min="13829" max="13829" width="15.7109375" bestFit="1" customWidth="1"/>
    <col min="13830" max="13830" width="16.7109375" customWidth="1"/>
    <col min="13831" max="13831" width="16.7109375" bestFit="1" customWidth="1"/>
    <col min="13832" max="13832" width="2.28515625" customWidth="1"/>
    <col min="13833" max="13833" width="15.85546875" bestFit="1" customWidth="1"/>
    <col min="14081" max="14081" width="13.140625" bestFit="1" customWidth="1"/>
    <col min="14082" max="14082" width="10.28515625" customWidth="1"/>
    <col min="14083" max="14083" width="12.28515625" bestFit="1" customWidth="1"/>
    <col min="14084" max="14084" width="24.28515625" bestFit="1" customWidth="1"/>
    <col min="14085" max="14085" width="15.7109375" bestFit="1" customWidth="1"/>
    <col min="14086" max="14086" width="16.7109375" customWidth="1"/>
    <col min="14087" max="14087" width="16.7109375" bestFit="1" customWidth="1"/>
    <col min="14088" max="14088" width="2.28515625" customWidth="1"/>
    <col min="14089" max="14089" width="15.85546875" bestFit="1" customWidth="1"/>
    <col min="14337" max="14337" width="13.140625" bestFit="1" customWidth="1"/>
    <col min="14338" max="14338" width="10.28515625" customWidth="1"/>
    <col min="14339" max="14339" width="12.28515625" bestFit="1" customWidth="1"/>
    <col min="14340" max="14340" width="24.28515625" bestFit="1" customWidth="1"/>
    <col min="14341" max="14341" width="15.7109375" bestFit="1" customWidth="1"/>
    <col min="14342" max="14342" width="16.7109375" customWidth="1"/>
    <col min="14343" max="14343" width="16.7109375" bestFit="1" customWidth="1"/>
    <col min="14344" max="14344" width="2.28515625" customWidth="1"/>
    <col min="14345" max="14345" width="15.85546875" bestFit="1" customWidth="1"/>
    <col min="14593" max="14593" width="13.140625" bestFit="1" customWidth="1"/>
    <col min="14594" max="14594" width="10.28515625" customWidth="1"/>
    <col min="14595" max="14595" width="12.28515625" bestFit="1" customWidth="1"/>
    <col min="14596" max="14596" width="24.28515625" bestFit="1" customWidth="1"/>
    <col min="14597" max="14597" width="15.7109375" bestFit="1" customWidth="1"/>
    <col min="14598" max="14598" width="16.7109375" customWidth="1"/>
    <col min="14599" max="14599" width="16.7109375" bestFit="1" customWidth="1"/>
    <col min="14600" max="14600" width="2.28515625" customWidth="1"/>
    <col min="14601" max="14601" width="15.85546875" bestFit="1" customWidth="1"/>
    <col min="14849" max="14849" width="13.140625" bestFit="1" customWidth="1"/>
    <col min="14850" max="14850" width="10.28515625" customWidth="1"/>
    <col min="14851" max="14851" width="12.28515625" bestFit="1" customWidth="1"/>
    <col min="14852" max="14852" width="24.28515625" bestFit="1" customWidth="1"/>
    <col min="14853" max="14853" width="15.7109375" bestFit="1" customWidth="1"/>
    <col min="14854" max="14854" width="16.7109375" customWidth="1"/>
    <col min="14855" max="14855" width="16.7109375" bestFit="1" customWidth="1"/>
    <col min="14856" max="14856" width="2.28515625" customWidth="1"/>
    <col min="14857" max="14857" width="15.85546875" bestFit="1" customWidth="1"/>
    <col min="15105" max="15105" width="13.140625" bestFit="1" customWidth="1"/>
    <col min="15106" max="15106" width="10.28515625" customWidth="1"/>
    <col min="15107" max="15107" width="12.28515625" bestFit="1" customWidth="1"/>
    <col min="15108" max="15108" width="24.28515625" bestFit="1" customWidth="1"/>
    <col min="15109" max="15109" width="15.7109375" bestFit="1" customWidth="1"/>
    <col min="15110" max="15110" width="16.7109375" customWidth="1"/>
    <col min="15111" max="15111" width="16.7109375" bestFit="1" customWidth="1"/>
    <col min="15112" max="15112" width="2.28515625" customWidth="1"/>
    <col min="15113" max="15113" width="15.85546875" bestFit="1" customWidth="1"/>
    <col min="15361" max="15361" width="13.140625" bestFit="1" customWidth="1"/>
    <col min="15362" max="15362" width="10.28515625" customWidth="1"/>
    <col min="15363" max="15363" width="12.28515625" bestFit="1" customWidth="1"/>
    <col min="15364" max="15364" width="24.28515625" bestFit="1" customWidth="1"/>
    <col min="15365" max="15365" width="15.7109375" bestFit="1" customWidth="1"/>
    <col min="15366" max="15366" width="16.7109375" customWidth="1"/>
    <col min="15367" max="15367" width="16.7109375" bestFit="1" customWidth="1"/>
    <col min="15368" max="15368" width="2.28515625" customWidth="1"/>
    <col min="15369" max="15369" width="15.85546875" bestFit="1" customWidth="1"/>
    <col min="15617" max="15617" width="13.140625" bestFit="1" customWidth="1"/>
    <col min="15618" max="15618" width="10.28515625" customWidth="1"/>
    <col min="15619" max="15619" width="12.28515625" bestFit="1" customWidth="1"/>
    <col min="15620" max="15620" width="24.28515625" bestFit="1" customWidth="1"/>
    <col min="15621" max="15621" width="15.7109375" bestFit="1" customWidth="1"/>
    <col min="15622" max="15622" width="16.7109375" customWidth="1"/>
    <col min="15623" max="15623" width="16.7109375" bestFit="1" customWidth="1"/>
    <col min="15624" max="15624" width="2.28515625" customWidth="1"/>
    <col min="15625" max="15625" width="15.85546875" bestFit="1" customWidth="1"/>
    <col min="15873" max="15873" width="13.140625" bestFit="1" customWidth="1"/>
    <col min="15874" max="15874" width="10.28515625" customWidth="1"/>
    <col min="15875" max="15875" width="12.28515625" bestFit="1" customWidth="1"/>
    <col min="15876" max="15876" width="24.28515625" bestFit="1" customWidth="1"/>
    <col min="15877" max="15877" width="15.7109375" bestFit="1" customWidth="1"/>
    <col min="15878" max="15878" width="16.7109375" customWidth="1"/>
    <col min="15879" max="15879" width="16.7109375" bestFit="1" customWidth="1"/>
    <col min="15880" max="15880" width="2.28515625" customWidth="1"/>
    <col min="15881" max="15881" width="15.85546875" bestFit="1" customWidth="1"/>
    <col min="16129" max="16129" width="13.140625" bestFit="1" customWidth="1"/>
    <col min="16130" max="16130" width="10.28515625" customWidth="1"/>
    <col min="16131" max="16131" width="12.28515625" bestFit="1" customWidth="1"/>
    <col min="16132" max="16132" width="24.28515625" bestFit="1" customWidth="1"/>
    <col min="16133" max="16133" width="15.7109375" bestFit="1" customWidth="1"/>
    <col min="16134" max="16134" width="16.7109375" customWidth="1"/>
    <col min="16135" max="16135" width="16.7109375" bestFit="1" customWidth="1"/>
    <col min="16136" max="16136" width="2.28515625" customWidth="1"/>
    <col min="16137" max="16137" width="15.85546875" bestFit="1" customWidth="1"/>
  </cols>
  <sheetData>
    <row r="1" spans="1:9" x14ac:dyDescent="0.25">
      <c r="B1" s="26"/>
      <c r="D1" s="26"/>
      <c r="F1" s="26"/>
    </row>
    <row r="2" spans="1:9" x14ac:dyDescent="0.25">
      <c r="I2" s="28"/>
    </row>
    <row r="3" spans="1:9" x14ac:dyDescent="0.25">
      <c r="A3" s="28"/>
      <c r="B3" s="28"/>
      <c r="C3" s="28"/>
      <c r="D3" s="28"/>
      <c r="E3" s="28"/>
      <c r="F3" s="28"/>
      <c r="G3" s="28"/>
      <c r="I3" s="28"/>
    </row>
    <row r="4" spans="1:9" x14ac:dyDescent="0.25">
      <c r="A4" s="24"/>
      <c r="F4" s="26"/>
    </row>
    <row r="5" spans="1:9" x14ac:dyDescent="0.25">
      <c r="A5" s="24"/>
      <c r="F5" s="26"/>
    </row>
    <row r="6" spans="1:9" x14ac:dyDescent="0.25">
      <c r="A6" s="24"/>
      <c r="F6" s="26"/>
    </row>
    <row r="7" spans="1:9" x14ac:dyDescent="0.25">
      <c r="A7" s="24"/>
      <c r="F7" s="26"/>
    </row>
    <row r="8" spans="1:9" x14ac:dyDescent="0.25">
      <c r="A8" s="24"/>
      <c r="F8" s="26"/>
    </row>
    <row r="9" spans="1:9" x14ac:dyDescent="0.25">
      <c r="A9" s="24"/>
      <c r="F9" s="26"/>
    </row>
    <row r="10" spans="1:9" x14ac:dyDescent="0.25">
      <c r="A10" s="24"/>
      <c r="F10" s="26"/>
    </row>
    <row r="11" spans="1:9" x14ac:dyDescent="0.25">
      <c r="A11" s="24"/>
      <c r="F11" s="26"/>
    </row>
    <row r="12" spans="1:9" x14ac:dyDescent="0.25">
      <c r="A12" s="24"/>
      <c r="F12" s="26"/>
    </row>
    <row r="13" spans="1:9" x14ac:dyDescent="0.25">
      <c r="A13" s="24"/>
      <c r="F13" s="26"/>
    </row>
    <row r="14" spans="1:9" x14ac:dyDescent="0.25">
      <c r="A14" s="24"/>
      <c r="F14" s="26"/>
    </row>
    <row r="15" spans="1:9" x14ac:dyDescent="0.25">
      <c r="A15" s="24"/>
      <c r="F15" s="26"/>
    </row>
    <row r="16" spans="1:9" x14ac:dyDescent="0.25">
      <c r="A16" s="24"/>
      <c r="F16" s="26"/>
    </row>
    <row r="17" spans="1:6" x14ac:dyDescent="0.25">
      <c r="A17" s="24"/>
      <c r="F17" s="26"/>
    </row>
    <row r="18" spans="1:6" x14ac:dyDescent="0.25">
      <c r="A18" s="24"/>
      <c r="F18" s="26"/>
    </row>
    <row r="19" spans="1:6" x14ac:dyDescent="0.25">
      <c r="A19" s="24"/>
      <c r="F19" s="26"/>
    </row>
    <row r="20" spans="1:6" x14ac:dyDescent="0.25">
      <c r="A20" s="24"/>
      <c r="F20" s="26"/>
    </row>
    <row r="21" spans="1:6" x14ac:dyDescent="0.25">
      <c r="F21" s="26"/>
    </row>
    <row r="22" spans="1:6" x14ac:dyDescent="0.25">
      <c r="F2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SYNTHESE</vt:lpstr>
      <vt:lpstr>metadat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modane</cp:lastModifiedBy>
  <dcterms:created xsi:type="dcterms:W3CDTF">2020-03-05T13:40:56Z</dcterms:created>
  <dcterms:modified xsi:type="dcterms:W3CDTF">2026-06-08T14:06:41Z</dcterms:modified>
</cp:coreProperties>
</file>